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4525" windowHeight="10890"/>
  </x:bookViews>
  <x:sheets>
    <x:sheet name="DNTable_Character&lt;Hero&gt;" sheetId="1" r:id="rId4"/>
  </x:sheets>
  <x:definedNames>
    <x:definedName name="_xlnm._FilterDatabase" localSheetId="0" hidden="1">'DNTable_Character&lt;Hero&gt;'!$A$1:$A$25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<x:sst xmlns:r="http://schemas.openxmlformats.org/officeDocument/2006/relationships" xmlns:c="http://schemas.openxmlformats.org/drawingml/2006/chart" xmlns:x="http://schemas.openxmlformats.org/spreadsheetml/2006/main" count="374" uniqueCount="155">
  <x:si>
    <x:t>행운의 네잎클로버이(가) 전투 시작 시 바로 5만큼 쉴드를 획득합니다.</x:t>
  </x:si>
  <x:si>
    <x:t>녹슨 훈련용 검이(가) 4초마다 적에게 3만큼 직접피해를 입힙니다.</x:t>
  </x:si>
  <x:si>
    <x:t>지옥불 살라미이(가) 4초마다 적에게 7만큼 발화 중첩을 부여합니다.</x:t>
  </x:si>
  <x:si>
    <x:t>독버섯 스튜이(가) 3초마다 적에게 6만큼 독 중첩을 부여합니다.</x:t>
  </x:si>
  <x:si>
    <x:t>성기사의 신성한 갑옷이(가) 전투 시작 시 바로 왼쪽과 오른쪽(둘 다) 아이템에게 8만큼 회복하고, 20만큼 쉴드를 획득합니다.</x:t>
  </x:si>
  <x:si>
    <x:t>전사의 만찬 세트이(가) 전투 시작 시 바로 왼쪽과 오른쪽(둘 다) 아이템에게 8만큼 회복하고, 15만큼 쉴드를 획득합니다.</x:t>
  </x:si>
  <x:si>
    <x:t>훈련된 전투견이(가) 3초마다 적에게 3만큼 직접피해를 입힙니다.</x:t>
  </x:si>
  <x:si>
    <x:t>역병의 가시 채찍이(가) 3초마다 적에게 6만큼 독 중첩을 부여합니다.</x:t>
  </x:si>
  <x:si>
    <x:t>노란 장난감이(가) 4초마다 왼쪽 아이템에게 3만큼 쉴드를 획득합니다.</x:t>
  </x:si>
  <x:si>
    <x:t>OnTurnStartToBothSides</x:t>
  </x:si>
  <x:si>
    <x:t>OnFightStartToBothSides</x:t>
  </x:si>
  <x:si>
    <x:t>OnItemTriggerToRight</x:t>
  </x:si>
  <x:si>
    <x:t>떠돌이 용병이(가) 4초마다 적에게 6만큼 직접피해를 입힙니다.</x:t>
  </x:si>
  <x:si>
    <x:t>화염 정령이(가) 4초마다 적에게 7만큼 발화 중첩을 부여합니다.</x:t>
  </x:si>
  <x:si>
    <x:t>Debuff_Poison</x:t>
  </x:si>
  <x:si>
    <x:t>타이탄의 거대한 가중 반지</x:t>
  </x:si>
  <x:si>
    <x:t>OnFightStart</x:t>
  </x:si>
  <x:si>
    <x:t>대마법사의 인장 브로치</x:t>
  </x:si>
  <x:si>
    <x:t>기사의 영광스러운 방패</x:t>
  </x:si>
  <x:si>
    <x:t>구운 돼지고기 스테이크</x:t>
  </x:si>
  <x:si>
    <x:t>훈련용 나무 활이(가) 5초마다 적에게 4만큼 직접피해를 입힙니다.</x:t>
  </x:si>
  <x:si>
    <x:t>치유의 요정이(가) 3초마다 왼쪽 아이템에게 4만큼 회복을 획득합니다.</x:t>
  </x:si>
  <x:si>
    <x:t>Id</x:t>
  </x:si>
  <x:si>
    <x:t>이미지</x:t>
  </x:si>
  <x:si>
    <x:t>설명</x:t>
  </x:si>
  <x:si>
    <x:t>구매가</x:t>
  </x:si>
  <x:si>
    <x:t>파나나</x:t>
  </x:si>
  <x:si>
    <x:t>Toy</x:t>
  </x:si>
  <x:si>
    <x:t>판매가</x:t>
  </x:si>
  <x:si>
    <x:t>int</x:t>
  </x:si>
  <x:si>
    <x:t>쿨타임</x:t>
  </x:si>
  <x:si>
    <x:t>사념의 흡혈도이(가) 4초마다 적에게 7만큼 직접피해를 입히고, 3만큼 회복을 획득합니다.</x:t>
  </x:si>
  <x:si>
    <x:t>왕실 정예 근위병이(가) 전투 시작 시 바로 왼쪽 아이템에게 22만큼 쉴드를 획득합니다.</x:t>
  </x:si>
  <x:si>
    <x:t>플레이트 메일이(가) 전투 시작 시 바로 왼쪽 아이템에게 18만큼 쉴드를 획득합니다.</x:t>
  </x:si>
  <x:si>
    <x:t>현자의 반작이는 반지이(가) 왼쪽 아이템이 발동할 때마다 6만큼 쉴드를 획득합니다.</x:t>
  </x:si>
  <x:si>
    <x:t>가시나무 팔찌이(가) 오른쪽 아이템이 발동할 때마다 4만큼 직접피해를 입힙니다.</x:t>
  </x:si>
  <x:si>
    <x:t>맹독 스파이더이(가) 오른쪽 아이템이 발동할 때마다 5만큼 독 중첩을 부여합니다.</x:t>
  </x:si>
  <x:si>
    <x:t>불멸자의 드래곤 흉갑이(가) 3초마다 적에게 6만큼 발화 중첩을 부여하고, 12만큼 쉴드를 획득합니다.</x:t>
  </x:si>
  <x:si>
    <x:t>대마법사 엘리트 학도이(가) 5초마다 적에게 10만큼 직접피해를 입히고, 6만큼 발화 중첩을 부여합니다.</x:t>
  </x:si>
  <x:si>
    <x:t>고대 수호 골렘이(가) 전투 시작 시 바로 왼쪽과 오른쪽(둘 다) 아이템에게 30만큼 쉴드를 획득합니다.</x:t>
  </x:si>
  <x:si>
    <x:t>마녀의 수상한 약물이(가) 전투 시작 시 바로 3만큼 직접피해를 입히고, 4만큼 독 중첩을 부여합니다.</x:t>
  </x:si>
  <x:si>
    <x:t>의술사 처키이(가) 4초마다 왼쪽과 오른쪽(둘 다) 아이템에게 4만큼 회복하고, 3만큼 쉴드를 획득합니다.</x:t>
  </x:si>
  <x:si>
    <x:t>가시 박힌 강철방패이(가) 전투 시작 시 바로 5만큼 직접피해를 입히고, 16만큼 쉴드를 획득합니다.</x:t>
  </x:si>
  <x:si>
    <x:t>드래곤의 심장 바베큐이(가) 3초마다 적에게 12만큼 직접피해를 입히고, 8만큼 발화 중첩을 부여합니다.</x:t>
  </x:si>
  <x:si>
    <x:t>신선한 사과이(가) 5초마다 적에게 3만큼 회복을 획득합니다.</x:t>
  </x:si>
  <x:si>
    <x:t>가죽 흉갑이(가) 전투 시작 시 바로 6만큼 쉴드를 획득합니다.</x:t>
  </x:si>
  <x:si>
    <x:t>뱀파이어의 귀걸이이(가) 4초마다 적에게 2만큼 직접피해를 입히고, 2만큼 회복을 획득합니다.</x:t>
  </x:si>
  <x:si>
    <x:t>화염 마법봉이(가) 5초마다 적에게 6만큼 직접피해를 입히고, 4만큼 발화 중첩을 부여합니다.</x:t>
  </x:si>
  <x:si>
    <x:t>타락한 영혼의 성배이(가) 3초마다 적에게 8만큼 직접피해를 입히고, 5만큼 독 중첩을 부여합니다.</x:t>
  </x:si>
  <x:si>
    <x:t>가시 돋친 숄더패드이(가) 전투 시작 시 바로 2만큼 직접피해를 입히고, 5만큼 쉴드를 획득합니다.</x:t>
  </x:si>
  <x:si>
    <x:t>독이 묻은 단검이(가) 3초마다 적에게 2만큼 직접피해를 입히고, 2만큼 독 중첩을 부여합니다.</x:t>
  </x:si>
  <x:si>
    <x:t>타오르는 불꽃 갑옷이(가) 4초마다 적에게 4만큼 발화 중첩을 부여하고, 6만큼 쉴드를 획득합니다.</x:t>
  </x:si>
  <x:si>
    <x:t>치유의 사제 의복이(가) 4초마다 왼쪽 아이템에게 3만큼 회복하고, 5만큼 쉴드를 획득합니다.</x:t>
  </x:si>
  <x:si>
    <x:t>역병 의사의 로브이(가) 4초마다 적에게 3만큼 독 중첩을 부여하고, 5만큼 쉴드를 획득합니다.</x:t>
  </x:si>
  <x:si>
    <x:t>천사의 깃털 깃장식이(가) 4초마다 왼쪽과 오른쪽(둘 다) 아이템에게 4만큼 회복을 획득합니다.</x:t>
  </x:si>
  <x:si>
    <x:t>구운 돼지고기 스테이크이(가) 전투 시작 시 바로 왼쪽 아이템에게 12만큼 쉴드를 획득합니다.</x:t>
  </x:si>
  <x:si>
    <x:t>타이탄의 거대한 가중 반지이(가) 전투 시작 시 바로 왼쪽과 오른쪽(둘 다) 아이템에게 10만큼 직접피해를 입히고, 12만큼 쉴드를 획득합니다.</x:t>
  </x:si>
  <x:si>
    <x:t>파괴 선동가의 대검이(가) 전투 시작 시 바로 왼쪽과 오른쪽(둘 다) 아이템에게 12만큼 직접피해를 입히고, 8만큼 발화 중첩을 부여합니다.</x:t>
  </x:si>
  <x:si>
    <x:t>BuyPrice</x:t>
  </x:si>
  <x:si>
    <x:t>ItemType</x:t>
  </x:si>
  <x:si>
    <x:t>불꽃의 문장 펜던트이(가) 4초마다 적에게 6만큼 발화 중첩을 부여합니다.</x:t>
  </x:si>
  <x:si>
    <x:t>매운 고추 구이이(가) 전투 시작 시 바로 4만큼 발화 중첩을 부여합니다.</x:t>
  </x:si>
  <x:si>
    <x:t>파나나이(가) 4초마다 적에게 10만큼 회복하고, 10만큼 쉴드를 획득합니다.</x:t>
  </x:si>
  <x:si>
    <x:t>벌꿀 치유 음료이(가) 4초마다 왼쪽 아이템에게 5만큼 회복을 획득합니다.</x:t>
  </x:si>
  <x:si>
    <x:t>독니가 박힌 목걸이이(가) 3초마다 적에게 5만큼 독 중첩을 부여합니다.</x:t>
  </x:si>
  <x:si>
    <x:t>기사의 영광스러운 방패이(가) 전투 시작 시 바로 왼쪽과 오른쪽(둘 다) 아이템에게 12만큼 쉴드를 획득합니다.</x:t>
  </x:si>
  <x:si>
    <x:t>대마법사의 인장 브로치이(가) 전투 시작 시 바로 왼쪽과 오른쪽(둘 다) 아이템에게 8만큼 직접피해를 입힙니다.</x:t>
  </x:si>
  <x:si>
    <x:t>엘프의 세계수 이슬이(가) 4초마다 왼쪽과 오른쪽(둘 다) 아이템에게 4만큼 회복하고, 4만큼 쉴드를 획득합니다.</x:t>
  </x:si>
  <x:si>
    <x:t>대장장이의 불망치이(가) 왼쪽 아이템이 발동할 때마다 5만큼 직접피해를 입히고, 3만큼 발화 중첩을 부여합니다.</x:t>
  </x:si>
  <x:si>
    <x:t>CoolDown</x:t>
  </x:si>
  <x:si>
    <x:t>Companion</x:t>
  </x:si>
  <x:si>
    <x:t>대마법사 엘리트 학도</x:t>
  </x:si>
  <x:si>
    <x:t>가시 박힌 강철방패</x:t>
  </x:si>
  <x:si>
    <x:t>Accessory</x:t>
  </x:si>
  <x:si>
    <x:t>파괴 선동가의 대검</x:t>
  </x:si>
  <x:si>
    <x:t>고대 수호 골렘</x:t>
  </x:si>
  <x:si>
    <x:t>성기사의 신성한 갑옷</x:t>
  </x:si>
  <x:si>
    <x:t>불꽃의 문장 펜던트</x:t>
  </x:si>
  <x:si>
    <x:t>천사의 깃털 깃장식</x:t>
  </x:si>
  <x:si>
    <x:t>SellPrice</x:t>
  </x:si>
  <x:si>
    <x:t>왕실 정예 근위병</x:t>
  </x:si>
  <x:si>
    <x:t>캐릭터 고유 ID</x:t>
  </x:si>
  <x:si>
    <x:t>Description</x:t>
  </x:si>
  <x:si>
    <x:t>EffectType2</x:t>
  </x:si>
  <x:si>
    <x:t>대장장이의 불망치</x:t>
  </x:si>
  <x:si>
    <x:t>뱀파이어의 귀걸이</x:t>
  </x:si>
  <x:si>
    <x:t>매운 고추 구이</x:t>
  </x:si>
  <x:si>
    <x:t>녹슨 훈련용 검</x:t>
  </x:si>
  <x:si>
    <x:t>훈련용 나무 활</x:t>
  </x:si>
  <x:si>
    <x:t>독이 묻은 단검</x:t>
  </x:si>
  <x:si>
    <x:t>벌꿀 치유 음료</x:t>
  </x:si>
  <x:si>
    <x:t>마녀의 수상한 약물</x:t>
  </x:si>
  <x:si>
    <x:t>TriggerType</x:t>
  </x:si>
  <x:si>
    <x:t>행운의 네잎클로버</x:t>
  </x:si>
  <x:si>
    <x:t>현자의 반작이는 반지</x:t>
  </x:si>
  <x:si>
    <x:t>치유의 사제 의복</x:t>
  </x:si>
  <x:si>
    <x:t>전사의 만찬 세트</x:t>
  </x:si>
  <x:si>
    <x:t>타락한 영혼의 성배</x:t>
  </x:si>
  <x:si>
    <x:t>드래곤의 심장 바베큐</x:t>
  </x:si>
  <x:si>
    <x:t>엘프의 세계수 이슬</x:t>
  </x:si>
  <x:si>
    <x:t>EffectType1</x:t>
  </x:si>
  <x:si>
    <x:t>역병 의사의 로브</x:t>
  </x:si>
  <x:si>
    <x:t>Debuff_Burn</x:t>
  </x:si>
  <x:si>
    <x:t>역병의 가시 채찍</x:t>
  </x:si>
  <x:si>
    <x:t>타오르는 불꽃 갑옷</x:t>
  </x:si>
  <x:si>
    <x:t>가시 돋친 숄더패드</x:t>
  </x:si>
  <x:si>
    <x:t>독니가 박힌 목걸이</x:t>
  </x:si>
  <x:si>
    <x:t>불멸자의 드래곤 흉갑</x:t>
  </x:si>
  <x:si>
    <x:t>OnTurnStart</x:t>
  </x:si>
  <x:si>
    <x:t>IconPath</x:t>
  </x:si>
  <x:si>
    <x:t>Weapon</x:t>
  </x:si>
  <x:si>
    <x:t>화염 정령</x:t>
  </x:si>
  <x:si>
    <x:t>독버섯 스튜</x:t>
  </x:si>
  <x:si>
    <x:t>맹독 스파이더</x:t>
  </x:si>
  <x:si>
    <x:t>.칸차지</x:t>
  </x:si>
  <x:si>
    <x:t>Name</x:t>
  </x:si>
  <x:si>
    <x:t>신선한 사과</x:t>
  </x:si>
  <x:si>
    <x:t>string</x:t>
  </x:si>
  <x:si>
    <x:t>가시나무 팔찌</x:t>
  </x:si>
  <x:si>
    <x:t>(name)</x:t>
  </x:si>
  <x:si>
    <x:t>암살자의 쌍검</x:t>
  </x:si>
  <x:si>
    <x:t>Armor</x:t>
  </x:si>
  <x:si>
    <x:t>치유의 요정</x:t>
  </x:si>
  <x:si>
    <x:t>떠돌이 용병</x:t>
  </x:si>
  <x:si>
    <x:t>화염 마법봉</x:t>
  </x:si>
  <x:si>
    <x:t>발동타입</x:t>
  </x:si>
  <x:si>
    <x:t>의술사 처키</x:t>
  </x:si>
  <x:si>
    <x:t>훈련된 전투견</x:t>
  </x:si>
  <x:si>
    <x:t>파란색 바나나</x:t>
  </x:si>
  <x:si>
    <x:t>Damage</x:t>
  </x:si>
  <x:si>
    <x:t>Value1</x:t>
  </x:si>
  <x:si>
    <x:t>아이템수치2</x:t>
  </x:si>
  <x:si>
    <x:t>지옥불 살라미</x:t>
  </x:si>
  <x:si>
    <x:t>이펙트타입2</x:t>
  </x:si>
  <x:si>
    <x:t>이펙트타입1</x:t>
  </x:si>
  <x:si>
    <x:t>노란 장난감</x:t>
  </x:si>
  <x:si>
    <x:t>사념의 흡혈도</x:t>
  </x:si>
  <x:si>
    <x:t>Food</x:t>
  </x:si>
  <x:si>
    <x:t>SizeX</x:t>
  </x:si>
  <x:si>
    <x:t>플레이트 메일</x:t>
  </x:si>
  <x:si>
    <x:t>아이템수치1</x:t>
  </x:si>
  <x:si>
    <x:t>사슬 갑옷</x:t>
  </x:si>
  <x:si>
    <x:t>아이템 타입</x:t>
  </x:si>
  <x:si>
    <x:t>Heal</x:t>
  </x:si>
  <x:si>
    <x:t>가죽 흉갑</x:t>
  </x:si>
  <x:si>
    <x:t>역병 쥐 무리</x:t>
  </x:si>
  <x:si>
    <x:t>Shield</x:t>
  </x:si>
  <x:si>
    <x:t>Value2</x:t>
  </x:si>
  <x:si>
    <x:t>암살자의 쌍검이(가) 전투 시작 시 바로 14만큼 직접피해를 입힙니다.</x:t>
  </x:si>
  <x:si>
    <x:t>역병 쥐 무리이(가) 2초마다 적에게 5만큼 독 중첩을 부여합니다.</x:t>
  </x:si>
  <x:si>
    <x:t>사슬 갑옷이(가) 전투 시작 시 바로 14만큼 쉴드를 획득합니다.</x:t>
  </x:si>
  <x:si>
    <x:t>OnTurnStartToLeft</x:t>
  </x:si>
  <x:si>
    <x:t>OnTurnStartToCenter</x:t>
  </x:si>
  <x:si>
    <x:t>OnItemTriggerToLeft</x:t>
  </x:si>
  <x:si>
    <x:t>OnFightStartToLeft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</x:si>
</x:sst>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돋움"/>
      <x:sz val="11"/>
      <x:color rgb="ff000000"/>
      <x:b val="1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bfbfbf"/>
      </x:patternFill>
    </x:fill>
    <x:fill>
      <x:patternFill patternType="solid">
        <x:fgColor rgb="ff9be5c8"/>
      </x:patternFill>
    </x:fill>
  </x:fills>
  <x:borders count="4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6" fillId="0" borderId="2" xfId="0" applyFont="1" applyBorder="1" applyAlignment="1">
      <x:alignment horizontal="general" vertical="center" wrapText="1"/>
    </x:xf>
    <x:xf numFmtId="0" fontId="0" fillId="6" borderId="1" xfId="0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8" fillId="7" borderId="2" xfId="0" applyFont="1" applyFill="1" applyBorder="1" applyAlignment="1">
      <x:alignment horizontal="general" vertical="center" wrapText="1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3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right" vertical="bottom" wrapText="1"/>
        </x:xf>
      </mc:Fallback>
    </mc:AlternateContent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6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M14" activeCellId="0" sqref="M14:M14"/>
    </x:sheetView>
  </x:sheetViews>
  <x:sheetFormatPr defaultColWidth="12.5703125" defaultRowHeight="15" customHeight="1"/>
  <x:cols>
    <x:col min="1" max="1" width="19.42578125" style="2" customWidth="1"/>
    <x:col min="2" max="2" width="23.87109375" style="2" bestFit="1" customWidth="1"/>
    <x:col min="3" max="3" width="12.4296875" style="2" customWidth="1"/>
    <x:col min="4" max="4" width="9.4296875" style="2" customWidth="1"/>
    <x:col min="5" max="5" width="11.5703125" style="2" customWidth="1"/>
    <x:col min="6" max="6" width="10.99609375" style="2" bestFit="1" customWidth="1"/>
    <x:col min="7" max="7" width="22.859375" style="2" bestFit="1" customWidth="1"/>
    <x:col min="8" max="8" width="19.5234375" style="2" bestFit="1" customWidth="1"/>
    <x:col min="9" max="9" width="19.5234375" style="2" customWidth="1"/>
    <x:col min="10" max="10" width="12.5703125" style="2" bestFit="1" customWidth="1"/>
    <x:col min="11" max="11" width="12.5703125" style="2" customWidth="1"/>
    <x:col min="12" max="12" width="12.5703125" style="2" bestFit="1" customWidth="1"/>
    <x:col min="13" max="13" width="23.5703125" style="2" customWidth="1"/>
    <x:col min="14" max="14" width="45.4296875" style="2" customWidth="1"/>
    <x:col min="15" max="15" width="21.8359375" style="2" bestFit="1" customWidth="1"/>
    <x:col min="16" max="16384" width="12.5703125" style="2"/>
  </x:cols>
  <x:sheetData>
    <x:row r="1" spans="1:14" ht="15.75" customHeight="1">
      <x:c r="A1" s="1" t="s">
        <x:v>81</x:v>
      </x:c>
      <x:c r="B1" s="1"/>
      <x:c r="C1" s="1" t="s">
        <x:v>142</x:v>
      </x:c>
      <x:c r="D1" s="2" t="s">
        <x:v>114</x:v>
      </x:c>
      <x:c r="E1" s="2" t="s">
        <x:v>25</x:v>
      </x:c>
      <x:c r="F1" s="2" t="s">
        <x:v>28</x:v>
      </x:c>
      <x:c r="G1" s="2" t="s">
        <x:v>125</x:v>
      </x:c>
      <x:c r="H1" s="2" t="s">
        <x:v>134</x:v>
      </x:c>
      <x:c r="I1" s="2" t="s">
        <x:v>133</x:v>
      </x:c>
      <x:c r="J1" s="2" t="s">
        <x:v>140</x:v>
      </x:c>
      <x:c r="K1" s="2" t="s">
        <x:v>131</x:v>
      </x:c>
      <x:c r="L1" s="2" t="s">
        <x:v>30</x:v>
      </x:c>
      <x:c r="M1" s="2" t="s">
        <x:v>23</x:v>
      </x:c>
      <x:c r="N1" s="2" t="s">
        <x:v>24</x:v>
      </x:c>
    </x:row>
    <x:row r="2" spans="1:9" s="8" customFormat="1" ht="15.75" customHeight="1">
      <x:c r="A2" s="9" t="s">
        <x:v>119</x:v>
      </x:c>
      <x:c r="B2" s="9" t="s">
        <x:v>117</x:v>
      </x:c>
      <x:c r="C2" s="9" t="s">
        <x:v>117</x:v>
      </x:c>
      <x:c r="D2" s="9" t="s">
        <x:v>117</x:v>
      </x:c>
      <x:c r="E2" s="9" t="s">
        <x:v>29</x:v>
      </x:c>
      <x:c r="F2" s="9" t="s">
        <x:v>29</x:v>
      </x:c>
      <x:c r="G2" s="9" t="s">
        <x:v>29</x:v>
      </x:c>
      <x:c r="H2" s="9" t="s">
        <x:v>117</x:v>
      </x:c>
      <x:c r="I2" s="9"/>
    </x:row>
    <x:row r="3" spans="1:14" s="10" customFormat="1" ht="15.75" customHeight="1">
      <x:c r="A3" s="11" t="s">
        <x:v>22</x:v>
      </x:c>
      <x:c r="B3" s="11" t="s">
        <x:v>115</x:v>
      </x:c>
      <x:c r="C3" s="11" t="s">
        <x:v>59</x:v>
      </x:c>
      <x:c r="D3" s="11" t="s">
        <x:v>138</x:v>
      </x:c>
      <x:c r="E3" s="11" t="s">
        <x:v>58</x:v>
      </x:c>
      <x:c r="F3" s="11" t="s">
        <x:v>79</x:v>
      </x:c>
      <x:c r="G3" s="11" t="s">
        <x:v>92</x:v>
      </x:c>
      <x:c r="H3" s="11" t="s">
        <x:v>100</x:v>
      </x:c>
      <x:c r="I3" s="11" t="s">
        <x:v>83</x:v>
      </x:c>
      <x:c r="J3" s="11" t="s">
        <x:v>130</x:v>
      </x:c>
      <x:c r="K3" s="11" t="s">
        <x:v>147</x:v>
      </x:c>
      <x:c r="L3" s="11" t="s">
        <x:v>69</x:v>
      </x:c>
      <x:c r="M3" s="11" t="s">
        <x:v>109</x:v>
      </x:c>
      <x:c r="N3" s="11" t="s">
        <x:v>82</x:v>
      </x:c>
    </x:row>
    <x:row r="4" spans="1:14" ht="15.75" customHeight="1">
      <x:c r="A4" s="12">
        <x:f>VLOOKUP(C4,{"Weapon",1000;"Companion",2000;"Armor",3000;"Accessory",4000;"Tool",5000;"Consumable",6000;"Food",7000;"Artifact",8000;"Material",9000;"Toy",10000},2,FALSE)+COUNTIF($C$4:C4,C4)</x:f>
        <x:v>10001</x:v>
      </x:c>
      <x:c r="B4" s="6" t="s">
        <x:v>135</x:v>
      </x:c>
      <x:c r="C4" s="6" t="s">
        <x:v>27</x:v>
      </x:c>
      <x:c r="D4" s="4">
        <x:v>1</x:v>
      </x:c>
      <x:c r="E4" s="4">
        <x:v>1</x:v>
      </x:c>
      <x:c r="F4" s="7">
        <x:f>ROUNDUP(E4/2,0)</x:f>
        <x:v>1</x:v>
      </x:c>
      <x:c r="G4" s="4" t="s">
        <x:v>151</x:v>
      </x:c>
      <x:c r="H4" s="4" t="s">
        <x:v>146</x:v>
      </x:c>
      <x:c r="I4" s="4"/>
      <x:c r="J4" s="4">
        <x:v>3</x:v>
      </x:c>
      <x:c r="K4" s="4"/>
      <x:c r="L4" s="4">
        <x:v>4</x:v>
      </x:c>
      <x:c r="M4" s="7"/>
      <x:c r="N4" s="4" t="str">
        <x:f>B4&amp;"이(가) "&amp;IF(G4="OnFightStart","전투 시작 시 바로 ",IF(G4="OnFightStartToLeft","전투 시작 시 바로 왼쪽 아이템에게 ",IF(G4="OnFightStartToRight","전투 시작 시 바로 오른쪽 아이템에게 ",IF(G4="OnFightStartToBothSides","전투 시작 시 바로 왼쪽과 오른쪽(둘 다) 아이템에게 ",IF(G4="OnTurnStartToLeft",L4&amp;"초마다 왼쪽 아이템에게 ",IF(G4="OnTurnStartToRight",L4&amp;"초마다 오른쪽 아이템에게 ",IF(G4="OnTurnStartToBothSides",L4&amp;"초마다 왼쪽과 오른쪽(둘 다) 아이템에게 ",IF(G4="OnItemTriggerToLeft","왼쪽 아이템이 발동할 때마다 ",IF(G4="OnItemTriggerToRight","오른쪽 아이템이 발동할 때마다 ",IF(G4="OnItemTriggerToCenter","가운데 아이템이 발동할 때마다 ",L4&amp;"초마다 적에게 "))))))))))&amp;IF(OR(ISBLANK(I4),I4=0,I4=""),IF(H4="Damage",J4&amp;"만큼 직접피해를 입힙니다.",IF(H4="Shield",J4&amp;"만큼 쉴드를 획득합니다.",IF(H4="Heal",J4&amp;"만큼 회복을 획득합니다.",IF(H4="Debuff_Poison",J4&amp;"만큼 독 중첩을 부여합니다.",IF(H4="Debuff_Burn",J4&amp;"만큼 발화 중첩을 부여합니다.",J4&amp;"만큼 효과를 발동합니다."))))),IF(H4="Damage",J4&amp;"만큼 직접피해를 입히고, ",IF(H4="Shield",J4&amp;"만큼 쉴드를 획득하고, ",IF(H4="Heal",J4&amp;"만큼 회복하고, ",IF(H4="Debuff_Poison",J4&amp;"만큼 독 중첩을 부여하고, ",IF(H4="Debuff_Burn",J4&amp;"만큼 발화 중첩을 부여하고, ",J4&amp;"만큼 효과를 발동하고, "))))))&amp;IF(OR(ISBLANK(I4),I4=0,I4=""),"",IF(I4="Damage",K4&amp;"만큼 직접피해를 입힙니다.",IF(I4="Shield",K4&amp;"만큼 쉴드를 획득합니다.",IF(I4="Heal",K4&amp;"만큼 회복을 획득합니다.",IF(I4="Debuff_Poison",K4&amp;"만큼 독 중첩을 부여합니다.",IF(I4="Debuff_Burn",K4&amp;"만큼 발화 중첩을 부여합니다.",K4&amp;"만큼 효과를 발동합니다."))))))</x:f>
        <x:v>노란 장난감이(가) 4초마다 왼쪽 아이템에게 3만큼 쉴드를 획득합니다.</x:v>
      </x:c>
    </x:row>
    <x:row r="5" spans="1:15" ht="15.75" customHeight="1">
      <x:c r="A5" s="12">
        <x:f>VLOOKUP(C5,{"Weapon",1000;"Companion",2000;"Armor",3000;"Accessory",4000;"Tool",5000;"Consumable",6000;"Food",7000;"Artifact",8000;"Material",9000;"Toy",10000},2,FALSE)+COUNTIF($C$4:C5,C5)</x:f>
        <x:v>7001</x:v>
      </x:c>
      <x:c r="B5" s="1" t="s">
        <x:v>26</x:v>
      </x:c>
      <x:c r="C5" s="13" t="s">
        <x:v>137</x:v>
      </x:c>
      <x:c r="D5" s="4">
        <x:v>1</x:v>
      </x:c>
      <x:c r="E5" s="4">
        <x:v>4</x:v>
      </x:c>
      <x:c r="F5" s="7">
        <x:f t="shared" ref="F5:F65" si="0">ROUNDUP(E5/2,0)</x:f>
        <x:v>2</x:v>
      </x:c>
      <x:c r="G5" s="7" t="s">
        <x:v>108</x:v>
      </x:c>
      <x:c r="H5" s="4" t="s">
        <x:v>143</x:v>
      </x:c>
      <x:c r="I5" s="4" t="s">
        <x:v>146</x:v>
      </x:c>
      <x:c r="J5" s="4">
        <x:v>10</x:v>
      </x:c>
      <x:c r="K5" s="4">
        <x:v>10</x:v>
      </x:c>
      <x:c r="L5" s="4">
        <x:v>4</x:v>
      </x:c>
      <x:c r="M5" s="4"/>
      <x:c r="N5" s="4" t="str">
        <x:f>B5&amp;"이(가) "&amp;IF(G5="OnFightStart","전투 시작 시 바로 ",IF(G5="OnFightStartToLeft","전투 시작 시 바로 왼쪽 아이템에게 ",IF(G5="OnFightStartToRight","전투 시작 시 바로 오른쪽 아이템에게 ",IF(G5="OnFightStartToBothSides","전투 시작 시 바로 왼쪽과 오른쪽(둘 다) 아이템에게 ",IF(G5="OnTurnStartToLeft",L5&amp;"초마다 왼쪽 아이템에게 ",IF(G5="OnTurnStartToRight",L5&amp;"초마다 오른쪽 아이템에게 ",IF(G5="OnTurnStartToBothSides",L5&amp;"초마다 왼쪽과 오른쪽(둘 다) 아이템에게 ",IF(G5="OnItemTriggerToLeft","왼쪽 아이템이 발동할 때마다 ",IF(G5="OnItemTriggerToRight","오른쪽 아이템이 발동할 때마다 ",IF(G5="OnItemTriggerToCenter","가운데 아이템이 발동할 때마다 ",L5&amp;"초마다 적에게 "))))))))))&amp;IF(OR(ISBLANK(I5),I5=0,I5=""),IF(H5="Damage",J5&amp;"만큼 직접피해를 입힙니다.",IF(H5="Shield",J5&amp;"만큼 쉴드를 획득합니다.",IF(H5="Heal",J5&amp;"만큼 회복을 획득합니다.",IF(H5="Debuff_Poison",J5&amp;"만큼 독 중첩을 부여합니다.",IF(H5="Debuff_Burn",J5&amp;"만큼 발화 중첩을 부여합니다.",J5&amp;"만큼 효과를 발동합니다."))))),IF(H5="Damage",J5&amp;"만큼 직접피해를 입히고, ",IF(H5="Shield",J5&amp;"만큼 쉴드를 획득하고, ",IF(H5="Heal",J5&amp;"만큼 회복하고, ",IF(H5="Debuff_Poison",J5&amp;"만큼 독 중첩을 부여하고, ",IF(H5="Debuff_Burn",J5&amp;"만큼 발화 중첩을 부여하고, ",J5&amp;"만큼 효과를 발동하고, "))))))&amp;IF(OR(ISBLANK(I5),I5=0,I5=""),"",IF(I5="Damage",K5&amp;"만큼 직접피해를 입힙니다.",IF(I5="Shield",K5&amp;"만큼 쉴드를 획득합니다.",IF(I5="Heal",K5&amp;"만큼 회복을 획득합니다.",IF(I5="Debuff_Poison",K5&amp;"만큼 독 중첩을 부여합니다.",IF(I5="Debuff_Burn",K5&amp;"만큼 발화 중첩을 부여합니다.",K5&amp;"만큼 효과를 발동합니다."))))))</x:f>
        <x:v>파나나이(가) 4초마다 적에게 10만큼 회복하고, 10만큼 쉴드를 획득합니다.</x:v>
      </x:c>
      <x:c r="O5" s="2" t="s">
        <x:v>128</x:v>
      </x:c>
    </x:row>
    <x:row r="6" spans="1:14" ht="15.75" customHeight="1">
      <x:c r="A6" s="12">
        <x:f>VLOOKUP(C6,{"Weapon",1000;"Companion",2000;"Armor",3000;"Accessory",4000;"Tool",5000;"Consumable",6000;"Food",7000;"Artifact",8000;"Material",9000;"Toy",10000},2,FALSE)+COUNTIF($C$4:C6,C6)</x:f>
        <x:v>1001</x:v>
      </x:c>
      <x:c r="B6" s="14" t="s">
        <x:v>87</x:v>
      </x:c>
      <x:c r="C6" s="14" t="s">
        <x:v>110</x:v>
      </x:c>
      <x:c r="D6" s="15">
        <x:v>1</x:v>
      </x:c>
      <x:c r="E6" s="15">
        <x:v>3</x:v>
      </x:c>
      <x:c r="F6" s="7">
        <x:f t="shared" si="0"/>
        <x:v>2</x:v>
      </x:c>
      <x:c r="G6" s="14" t="s">
        <x:v>152</x:v>
      </x:c>
      <x:c r="H6" s="14" t="s">
        <x:v>129</x:v>
      </x:c>
      <x:c r="I6" s="14"/>
      <x:c r="J6" s="15">
        <x:v>3</x:v>
      </x:c>
      <x:c r="K6" s="14"/>
      <x:c r="L6" s="15">
        <x:v>4</x:v>
      </x:c>
      <x:c r="M6" s="14"/>
      <x:c r="N6" s="4" t="str">
        <x:f t="shared" ref="N6:N65" si="1">B6&amp;"이(가) "&amp;IF(G6="OnFightStart","전투 시작 시 바로 ",IF(G6="OnFightStartToLeft","전투 시작 시 바로 왼쪽 아이템에게 ",IF(G6="OnFightStartToRight","전투 시작 시 바로 오른쪽 아이템에게 ",IF(G6="OnFightStartToBothSides","전투 시작 시 바로 왼쪽과 오른쪽(둘 다) 아이템에게 ",IF(G6="OnTurnStartToLeft",L6&amp;"초마다 왼쪽 아이템에게 ",IF(G6="OnTurnStartToRight",L6&amp;"초마다 오른쪽 아이템에게 ",IF(G6="OnTurnStartToBothSides",L6&amp;"초마다 왼쪽과 오른쪽(둘 다) 아이템에게 ",IF(G6="OnItemTriggerToLeft","왼쪽 아이템이 발동할 때마다 ",IF(G6="OnItemTriggerToRight","오른쪽 아이템이 발동할 때마다 ",IF(G6="OnItemTriggerToCenter","가운데 아이템이 발동할 때마다 ",L6&amp;"초마다 적에게 "))))))))))&amp;IF(OR(ISBLANK(I6),I6=0,I6=""),IF(H6="Damage",J6&amp;"만큼 직접피해를 입힙니다.",IF(H6="Shield",J6&amp;"만큼 쉴드를 획득합니다.",IF(H6="Heal",J6&amp;"만큼 회복을 획득합니다.",IF(H6="Debuff_Poison",J6&amp;"만큼 독 중첩을 부여합니다.",IF(H6="Debuff_Burn",J6&amp;"만큼 발화 중첩을 부여합니다.",J6&amp;"만큼 효과를 발동합니다."))))),IF(H6="Damage",J6&amp;"만큼 직접피해를 입히고, ",IF(H6="Shield",J6&amp;"만큼 쉴드를 획득하고, ",IF(H6="Heal",J6&amp;"만큼 회복하고, ",IF(H6="Debuff_Poison",J6&amp;"만큼 독 중첩을 부여하고, ",IF(H6="Debuff_Burn",J6&amp;"만큼 발화 중첩을 부여하고, ",J6&amp;"만큼 효과를 발동하고, "))))))&amp;IF(OR(ISBLANK(I6),I6=0,I6=""),"",IF(I6="Damage",K6&amp;"만큼 직접피해를 입힙니다.",IF(I6="Shield",K6&amp;"만큼 쉴드를 획득합니다.",IF(I6="Heal",K6&amp;"만큼 회복을 획득합니다.",IF(I6="Debuff_Poison",K6&amp;"만큼 독 중첩을 부여합니다.",IF(I6="Debuff_Burn",K6&amp;"만큼 발화 중첩을 부여합니다.",K6&amp;"만큼 효과를 발동합니다."))))))</x:f>
        <x:v>녹슨 훈련용 검이(가) 4초마다 적에게 3만큼 직접피해를 입힙니다.</x:v>
      </x:c>
    </x:row>
    <x:row r="7" spans="1:14" ht="15.75" customHeight="1">
      <x:c r="A7" s="12">
        <x:f>VLOOKUP(C7,{"Weapon",1000;"Companion",2000;"Armor",3000;"Accessory",4000;"Tool",5000;"Consumable",6000;"Food",7000;"Artifact",8000;"Material",9000;"Toy",10000},2,FALSE)+COUNTIF($C$4:C7,C7)</x:f>
        <x:v>1002</x:v>
      </x:c>
      <x:c r="B7" s="14" t="s">
        <x:v>89</x:v>
      </x:c>
      <x:c r="C7" s="14" t="s">
        <x:v>110</x:v>
      </x:c>
      <x:c r="D7" s="15">
        <x:v>1</x:v>
      </x:c>
      <x:c r="E7" s="15">
        <x:v>5</x:v>
      </x:c>
      <x:c r="F7" s="7">
        <x:f t="shared" si="0"/>
        <x:v>3</x:v>
      </x:c>
      <x:c r="G7" s="14" t="s">
        <x:v>152</x:v>
      </x:c>
      <x:c r="H7" s="14" t="s">
        <x:v>129</x:v>
      </x:c>
      <x:c r="I7" s="14" t="s">
        <x:v>14</x:v>
      </x:c>
      <x:c r="J7" s="15">
        <x:v>2</x:v>
      </x:c>
      <x:c r="K7" s="15">
        <x:v>2</x:v>
      </x:c>
      <x:c r="L7" s="15">
        <x:v>3</x:v>
      </x:c>
      <x:c r="M7" s="14"/>
      <x:c r="N7" s="4" t="str">
        <x:f t="shared" si="1"/>
        <x:v>독이 묻은 단검이(가) 3초마다 적에게 2만큼 직접피해를 입히고, 2만큼 독 중첩을 부여합니다.</x:v>
      </x:c>
    </x:row>
    <x:row r="8" spans="1:14" ht="15.75" customHeight="1">
      <x:c r="A8" s="12">
        <x:f>VLOOKUP(C8,{"Weapon",1000;"Companion",2000;"Armor",3000;"Accessory",4000;"Tool",5000;"Consumable",6000;"Food",7000;"Artifact",8000;"Material",9000;"Toy",10000},2,FALSE)+COUNTIF($C$4:C8,C8)</x:f>
        <x:v>1003</x:v>
      </x:c>
      <x:c r="B8" s="14" t="s">
        <x:v>124</x:v>
      </x:c>
      <x:c r="C8" s="14" t="s">
        <x:v>110</x:v>
      </x:c>
      <x:c r="D8" s="15">
        <x:v>2</x:v>
      </x:c>
      <x:c r="E8" s="15">
        <x:v>7</x:v>
      </x:c>
      <x:c r="F8" s="7">
        <x:f t="shared" si="0"/>
        <x:v>4</x:v>
      </x:c>
      <x:c r="G8" s="14" t="s">
        <x:v>152</x:v>
      </x:c>
      <x:c r="H8" s="14" t="s">
        <x:v>129</x:v>
      </x:c>
      <x:c r="I8" s="14" t="s">
        <x:v>102</x:v>
      </x:c>
      <x:c r="J8" s="15">
        <x:v>6</x:v>
      </x:c>
      <x:c r="K8" s="15">
        <x:v>4</x:v>
      </x:c>
      <x:c r="L8" s="15">
        <x:v>5</x:v>
      </x:c>
      <x:c r="M8" s="14"/>
      <x:c r="N8" s="4" t="str">
        <x:f t="shared" si="1"/>
        <x:v>화염 마법봉이(가) 5초마다 적에게 6만큼 직접피해를 입히고, 4만큼 발화 중첩을 부여합니다.</x:v>
      </x:c>
    </x:row>
    <x:row r="9" spans="1:14" ht="15.75" customHeight="1">
      <x:c r="A9" s="12">
        <x:f>VLOOKUP(C9,{"Weapon",1000;"Companion",2000;"Armor",3000;"Accessory",4000;"Tool",5000;"Consumable",6000;"Food",7000;"Artifact",8000;"Material",9000;"Toy",10000},2,FALSE)+COUNTIF($C$4:C9,C9)</x:f>
        <x:v>1004</x:v>
      </x:c>
      <x:c r="B9" s="14" t="s">
        <x:v>136</x:v>
      </x:c>
      <x:c r="C9" s="14" t="s">
        <x:v>110</x:v>
      </x:c>
      <x:c r="D9" s="15">
        <x:v>2</x:v>
      </x:c>
      <x:c r="E9" s="15">
        <x:v>9</x:v>
      </x:c>
      <x:c r="F9" s="7">
        <x:f t="shared" si="0"/>
        <x:v>5</x:v>
      </x:c>
      <x:c r="G9" s="14" t="s">
        <x:v>152</x:v>
      </x:c>
      <x:c r="H9" s="14" t="s">
        <x:v>129</x:v>
      </x:c>
      <x:c r="I9" s="14" t="s">
        <x:v>143</x:v>
      </x:c>
      <x:c r="J9" s="15">
        <x:v>7</x:v>
      </x:c>
      <x:c r="K9" s="15">
        <x:v>3</x:v>
      </x:c>
      <x:c r="L9" s="15">
        <x:v>4</x:v>
      </x:c>
      <x:c r="M9" s="14"/>
      <x:c r="N9" s="4" t="str">
        <x:f t="shared" si="1"/>
        <x:v>사념의 흡혈도이(가) 4초마다 적에게 7만큼 직접피해를 입히고, 3만큼 회복을 획득합니다.</x:v>
      </x:c>
    </x:row>
    <x:row r="10" spans="1:14" ht="15.75" customHeight="1">
      <x:c r="A10" s="12">
        <x:f>VLOOKUP(C10,{"Weapon",1000;"Companion",2000;"Armor",3000;"Accessory",4000;"Tool",5000;"Consumable",6000;"Food",7000;"Artifact",8000;"Material",9000;"Toy",10000},2,FALSE)+COUNTIF($C$4:C10,C10)</x:f>
        <x:v>1005</x:v>
      </x:c>
      <x:c r="B10" s="14" t="s">
        <x:v>88</x:v>
      </x:c>
      <x:c r="C10" s="14" t="s">
        <x:v>110</x:v>
      </x:c>
      <x:c r="D10" s="15">
        <x:v>1</x:v>
      </x:c>
      <x:c r="E10" s="15">
        <x:v>4</x:v>
      </x:c>
      <x:c r="F10" s="7">
        <x:f t="shared" si="0"/>
        <x:v>2</x:v>
      </x:c>
      <x:c r="G10" s="14" t="s">
        <x:v>152</x:v>
      </x:c>
      <x:c r="H10" s="14" t="s">
        <x:v>129</x:v>
      </x:c>
      <x:c r="I10" s="14"/>
      <x:c r="J10" s="15">
        <x:v>4</x:v>
      </x:c>
      <x:c r="K10" s="14"/>
      <x:c r="L10" s="15">
        <x:v>5</x:v>
      </x:c>
      <x:c r="M10" s="14"/>
      <x:c r="N10" s="4" t="str">
        <x:f t="shared" si="1"/>
        <x:v>훈련용 나무 활이(가) 5초마다 적에게 4만큼 직접피해를 입힙니다.</x:v>
      </x:c>
    </x:row>
    <x:row r="11" spans="1:14" ht="15.75" customHeight="1">
      <x:c r="A11" s="12">
        <x:f>VLOOKUP(C11,{"Weapon",1000;"Companion",2000;"Armor",3000;"Accessory",4000;"Tool",5000;"Consumable",6000;"Food",7000;"Artifact",8000;"Material",9000;"Toy",10000},2,FALSE)+COUNTIF($C$4:C11,C11)</x:f>
        <x:v>1006</x:v>
      </x:c>
      <x:c r="B11" s="14" t="s">
        <x:v>103</x:v>
      </x:c>
      <x:c r="C11" s="14" t="s">
        <x:v>110</x:v>
      </x:c>
      <x:c r="D11" s="15">
        <x:v>2</x:v>
      </x:c>
      <x:c r="E11" s="15">
        <x:v>7</x:v>
      </x:c>
      <x:c r="F11" s="7">
        <x:f t="shared" si="0"/>
        <x:v>4</x:v>
      </x:c>
      <x:c r="G11" s="14" t="s">
        <x:v>152</x:v>
      </x:c>
      <x:c r="H11" s="14" t="s">
        <x:v>14</x:v>
      </x:c>
      <x:c r="I11" s="14"/>
      <x:c r="J11" s="15">
        <x:v>6</x:v>
      </x:c>
      <x:c r="K11" s="14"/>
      <x:c r="L11" s="15">
        <x:v>3</x:v>
      </x:c>
      <x:c r="M11" s="14"/>
      <x:c r="N11" s="4" t="str">
        <x:f t="shared" si="1"/>
        <x:v>역병의 가시 채찍이(가) 3초마다 적에게 6만큼 독 중첩을 부여합니다.</x:v>
      </x:c>
    </x:row>
    <x:row r="12" spans="1:14" ht="15.75" customHeight="1">
      <x:c r="A12" s="12">
        <x:f>VLOOKUP(C12,{"Weapon",1000;"Companion",2000;"Armor",3000;"Accessory",4000;"Tool",5000;"Consumable",6000;"Food",7000;"Artifact",8000;"Material",9000;"Toy",10000},2,FALSE)+COUNTIF($C$4:C12,C12)</x:f>
        <x:v>1007</x:v>
      </x:c>
      <x:c r="B12" s="14" t="s">
        <x:v>84</x:v>
      </x:c>
      <x:c r="C12" s="14" t="s">
        <x:v>110</x:v>
      </x:c>
      <x:c r="D12" s="15">
        <x:v>2</x:v>
      </x:c>
      <x:c r="E12" s="15">
        <x:v>8</x:v>
      </x:c>
      <x:c r="F12" s="7">
        <x:f t="shared" si="0"/>
        <x:v>4</x:v>
      </x:c>
      <x:c r="G12" s="14" t="s">
        <x:v>153</x:v>
      </x:c>
      <x:c r="H12" s="14" t="s">
        <x:v>129</x:v>
      </x:c>
      <x:c r="I12" s="14" t="s">
        <x:v>102</x:v>
      </x:c>
      <x:c r="J12" s="15">
        <x:v>5</x:v>
      </x:c>
      <x:c r="K12" s="15">
        <x:v>3</x:v>
      </x:c>
      <x:c r="L12" s="14"/>
      <x:c r="M12" s="14"/>
      <x:c r="N12" s="4" t="str">
        <x:f t="shared" si="1"/>
        <x:v>대장장이의 불망치이(가) 왼쪽 아이템이 발동할 때마다 5만큼 직접피해를 입히고, 3만큼 발화 중첩을 부여합니다.</x:v>
      </x:c>
    </x:row>
    <x:row r="13" spans="1:14" ht="15.75" customHeight="1">
      <x:c r="A13" s="12">
        <x:f>VLOOKUP(C13,{"Weapon",1000;"Companion",2000;"Armor",3000;"Accessory",4000;"Tool",5000;"Consumable",6000;"Food",7000;"Artifact",8000;"Material",9000;"Toy",10000},2,FALSE)+COUNTIF($C$4:C13,C13)</x:f>
        <x:v>1008</x:v>
      </x:c>
      <x:c r="B13" s="14" t="s">
        <x:v>120</x:v>
      </x:c>
      <x:c r="C13" s="14" t="s">
        <x:v>110</x:v>
      </x:c>
      <x:c r="D13" s="15">
        <x:v>2</x:v>
      </x:c>
      <x:c r="E13" s="15">
        <x:v>8</x:v>
      </x:c>
      <x:c r="F13" s="7">
        <x:f t="shared" si="0"/>
        <x:v>4</x:v>
      </x:c>
      <x:c r="G13" s="14" t="s">
        <x:v>16</x:v>
      </x:c>
      <x:c r="H13" s="14" t="s">
        <x:v>129</x:v>
      </x:c>
      <x:c r="I13" s="14"/>
      <x:c r="J13" s="15">
        <x:v>14</x:v>
      </x:c>
      <x:c r="K13" s="14"/>
      <x:c r="L13" s="14"/>
      <x:c r="M13" s="14"/>
      <x:c r="N13" s="4" t="str">
        <x:f t="shared" si="1"/>
        <x:v>암살자의 쌍검이(가) 전투 시작 시 바로 14만큼 직접피해를 입힙니다.</x:v>
      </x:c>
    </x:row>
    <x:row r="14" spans="1:14" ht="15.75" customHeight="1">
      <x:c r="A14" s="12">
        <x:f>VLOOKUP(C14,{"Weapon",1000;"Companion",2000;"Armor",3000;"Accessory",4000;"Tool",5000;"Consumable",6000;"Food",7000;"Artifact",8000;"Material",9000;"Toy",10000},2,FALSE)+COUNTIF($C$4:C14,C14)</x:f>
        <x:v>1009</x:v>
      </x:c>
      <x:c r="B14" s="14" t="s">
        <x:v>72</x:v>
      </x:c>
      <x:c r="C14" s="14" t="s">
        <x:v>110</x:v>
      </x:c>
      <x:c r="D14" s="15">
        <x:v>3</x:v>
      </x:c>
      <x:c r="E14" s="15">
        <x:v>11</x:v>
      </x:c>
      <x:c r="F14" s="7">
        <x:f t="shared" si="0"/>
        <x:v>6</x:v>
      </x:c>
      <x:c r="G14" s="14" t="s">
        <x:v>16</x:v>
      </x:c>
      <x:c r="H14" s="14" t="s">
        <x:v>129</x:v>
      </x:c>
      <x:c r="I14" s="14" t="s">
        <x:v>146</x:v>
      </x:c>
      <x:c r="J14" s="15">
        <x:v>5</x:v>
      </x:c>
      <x:c r="K14" s="15">
        <x:v>16</x:v>
      </x:c>
      <x:c r="L14" s="14"/>
      <x:c r="M14" s="14"/>
      <x:c r="N14" s="4" t="str">
        <x:f t="shared" si="1"/>
        <x:v>가시 박힌 강철방패이(가) 전투 시작 시 바로 5만큼 직접피해를 입히고, 16만큼 쉴드를 획득합니다.</x:v>
      </x:c>
    </x:row>
    <x:row r="15" spans="1:14" ht="15.75" customHeight="1">
      <x:c r="A15" s="12">
        <x:f>VLOOKUP(C15,{"Weapon",1000;"Companion",2000;"Armor",3000;"Accessory",4000;"Tool",5000;"Consumable",6000;"Food",7000;"Artifact",8000;"Material",9000;"Toy",10000},2,FALSE)+COUNTIF($C$4:C15,C15)</x:f>
        <x:v>1010</x:v>
      </x:c>
      <x:c r="B15" s="14" t="s">
        <x:v>74</x:v>
      </x:c>
      <x:c r="C15" s="14" t="s">
        <x:v>110</x:v>
      </x:c>
      <x:c r="D15" s="15">
        <x:v>3</x:v>
      </x:c>
      <x:c r="E15" s="15">
        <x:v>13</x:v>
      </x:c>
      <x:c r="F15" s="7">
        <x:f t="shared" si="0"/>
        <x:v>7</x:v>
      </x:c>
      <x:c r="G15" s="14" t="s">
        <x:v>10</x:v>
      </x:c>
      <x:c r="H15" s="14" t="s">
        <x:v>129</x:v>
      </x:c>
      <x:c r="I15" s="14" t="s">
        <x:v>102</x:v>
      </x:c>
      <x:c r="J15" s="15">
        <x:v>12</x:v>
      </x:c>
      <x:c r="K15" s="15">
        <x:v>8</x:v>
      </x:c>
      <x:c r="L15" s="14"/>
      <x:c r="M15" s="14"/>
      <x:c r="N15" s="4" t="str">
        <x:f t="shared" si="1"/>
        <x:v>파괴 선동가의 대검이(가) 전투 시작 시 바로 왼쪽과 오른쪽(둘 다) 아이템에게 12만큼 직접피해를 입히고, 8만큼 발화 중첩을 부여합니다.</x:v>
      </x:c>
    </x:row>
    <x:row r="16" spans="1:14" ht="15.75" customHeight="1">
      <x:c r="A16" s="12">
        <x:f>VLOOKUP(C16,{"Weapon",1000;"Companion",2000;"Armor",3000;"Accessory",4000;"Tool",5000;"Consumable",6000;"Food",7000;"Artifact",8000;"Material",9000;"Toy",10000},2,FALSE)+COUNTIF($C$4:C16,C16)</x:f>
        <x:v>2001</x:v>
      </x:c>
      <x:c r="B16" s="14" t="s">
        <x:v>127</x:v>
      </x:c>
      <x:c r="C16" s="14" t="s">
        <x:v>70</x:v>
      </x:c>
      <x:c r="D16" s="15">
        <x:v>1</x:v>
      </x:c>
      <x:c r="E16" s="15">
        <x:v>4</x:v>
      </x:c>
      <x:c r="F16" s="7">
        <x:f t="shared" si="0"/>
        <x:v>2</x:v>
      </x:c>
      <x:c r="G16" s="14" t="s">
        <x:v>152</x:v>
      </x:c>
      <x:c r="H16" s="14" t="s">
        <x:v>129</x:v>
      </x:c>
      <x:c r="I16" s="14"/>
      <x:c r="J16" s="15">
        <x:v>3</x:v>
      </x:c>
      <x:c r="K16" s="14"/>
      <x:c r="L16" s="15">
        <x:v>3</x:v>
      </x:c>
      <x:c r="M16" s="14"/>
      <x:c r="N16" s="4" t="str">
        <x:f t="shared" si="1"/>
        <x:v>훈련된 전투견이(가) 3초마다 적에게 3만큼 직접피해를 입힙니다.</x:v>
      </x:c>
    </x:row>
    <x:row r="17" spans="1:14" ht="15.75" customHeight="1">
      <x:c r="A17" s="12">
        <x:f>VLOOKUP(C17,{"Weapon",1000;"Companion",2000;"Armor",3000;"Accessory",4000;"Tool",5000;"Consumable",6000;"Food",7000;"Artifact",8000;"Material",9000;"Toy",10000},2,FALSE)+COUNTIF($C$4:C17,C17)</x:f>
        <x:v>2002</x:v>
      </x:c>
      <x:c r="B17" s="14" t="s">
        <x:v>122</x:v>
      </x:c>
      <x:c r="C17" s="14" t="s">
        <x:v>70</x:v>
      </x:c>
      <x:c r="D17" s="15">
        <x:v>1</x:v>
      </x:c>
      <x:c r="E17" s="15">
        <x:v>5</x:v>
      </x:c>
      <x:c r="F17" s="7">
        <x:f t="shared" si="0"/>
        <x:v>3</x:v>
      </x:c>
      <x:c r="G17" s="14" t="s">
        <x:v>151</x:v>
      </x:c>
      <x:c r="H17" s="14" t="s">
        <x:v>143</x:v>
      </x:c>
      <x:c r="I17" s="14"/>
      <x:c r="J17" s="15">
        <x:v>4</x:v>
      </x:c>
      <x:c r="K17" s="14"/>
      <x:c r="L17" s="15">
        <x:v>3</x:v>
      </x:c>
      <x:c r="M17" s="14"/>
      <x:c r="N17" s="4" t="str">
        <x:f t="shared" si="1"/>
        <x:v>치유의 요정이(가) 3초마다 왼쪽 아이템에게 4만큼 회복을 획득합니다.</x:v>
      </x:c>
    </x:row>
    <x:row r="18" spans="1:14" ht="15.75" customHeight="1">
      <x:c r="A18" s="12">
        <x:f>VLOOKUP(C18,{"Weapon",1000;"Companion",2000;"Armor",3000;"Accessory",4000;"Tool",5000;"Consumable",6000;"Food",7000;"Artifact",8000;"Material",9000;"Toy",10000},2,FALSE)+COUNTIF($C$4:C18,C18)</x:f>
        <x:v>2003</x:v>
      </x:c>
      <x:c r="B18" s="14" t="s">
        <x:v>145</x:v>
      </x:c>
      <x:c r="C18" s="14" t="s">
        <x:v>70</x:v>
      </x:c>
      <x:c r="D18" s="15">
        <x:v>2</x:v>
      </x:c>
      <x:c r="E18" s="15">
        <x:v>6</x:v>
      </x:c>
      <x:c r="F18" s="7">
        <x:f t="shared" si="0"/>
        <x:v>3</x:v>
      </x:c>
      <x:c r="G18" s="14" t="s">
        <x:v>152</x:v>
      </x:c>
      <x:c r="H18" s="14" t="s">
        <x:v>14</x:v>
      </x:c>
      <x:c r="I18" s="14"/>
      <x:c r="J18" s="15">
        <x:v>5</x:v>
      </x:c>
      <x:c r="K18" s="14"/>
      <x:c r="L18" s="15">
        <x:v>2</x:v>
      </x:c>
      <x:c r="M18" s="14"/>
      <x:c r="N18" s="4" t="str">
        <x:f t="shared" si="1"/>
        <x:v>역병 쥐 무리이(가) 2초마다 적에게 5만큼 독 중첩을 부여합니다.</x:v>
      </x:c>
    </x:row>
    <x:row r="19" spans="1:14" ht="15.75" customHeight="1">
      <x:c r="A19" s="12">
        <x:f>VLOOKUP(C19,{"Weapon",1000;"Companion",2000;"Armor",3000;"Accessory",4000;"Tool",5000;"Consumable",6000;"Food",7000;"Artifact",8000;"Material",9000;"Toy",10000},2,FALSE)+COUNTIF($C$4:C19,C19)</x:f>
        <x:v>2004</x:v>
      </x:c>
      <x:c r="B19" s="14" t="s">
        <x:v>126</x:v>
      </x:c>
      <x:c r="C19" s="14" t="s">
        <x:v>70</x:v>
      </x:c>
      <x:c r="D19" s="15">
        <x:v>2</x:v>
      </x:c>
      <x:c r="E19" s="15">
        <x:v>7</x:v>
      </x:c>
      <x:c r="F19" s="7">
        <x:f t="shared" si="0"/>
        <x:v>4</x:v>
      </x:c>
      <x:c r="G19" s="14" t="s">
        <x:v>9</x:v>
      </x:c>
      <x:c r="H19" s="14" t="s">
        <x:v>143</x:v>
      </x:c>
      <x:c r="I19" s="14" t="s">
        <x:v>146</x:v>
      </x:c>
      <x:c r="J19" s="15">
        <x:v>4</x:v>
      </x:c>
      <x:c r="K19" s="15">
        <x:v>3</x:v>
      </x:c>
      <x:c r="L19" s="15">
        <x:v>4</x:v>
      </x:c>
      <x:c r="M19" s="14"/>
      <x:c r="N19" s="4" t="str">
        <x:f t="shared" si="1"/>
        <x:v>의술사 처키이(가) 4초마다 왼쪽과 오른쪽(둘 다) 아이템에게 4만큼 회복하고, 3만큼 쉴드를 획득합니다.</x:v>
      </x:c>
    </x:row>
    <x:row r="20" spans="1:14" ht="15.75" customHeight="1">
      <x:c r="A20" s="12">
        <x:f>VLOOKUP(C20,{"Weapon",1000;"Companion",2000;"Armor",3000;"Accessory",4000;"Tool",5000;"Consumable",6000;"Food",7000;"Artifact",8000;"Material",9000;"Toy",10000},2,FALSE)+COUNTIF($C$4:C20,C20)</x:f>
        <x:v>2005</x:v>
      </x:c>
      <x:c r="B20" s="14" t="s">
        <x:v>111</x:v>
      </x:c>
      <x:c r="C20" s="14" t="s">
        <x:v>70</x:v>
      </x:c>
      <x:c r="D20" s="15">
        <x:v>2</x:v>
      </x:c>
      <x:c r="E20" s="15">
        <x:v>8</x:v>
      </x:c>
      <x:c r="F20" s="7">
        <x:f t="shared" si="0"/>
        <x:v>4</x:v>
      </x:c>
      <x:c r="G20" s="14" t="s">
        <x:v>152</x:v>
      </x:c>
      <x:c r="H20" s="14" t="s">
        <x:v>102</x:v>
      </x:c>
      <x:c r="I20" s="14"/>
      <x:c r="J20" s="15">
        <x:v>7</x:v>
      </x:c>
      <x:c r="K20" s="14"/>
      <x:c r="L20" s="15">
        <x:v>4</x:v>
      </x:c>
      <x:c r="M20" s="14"/>
      <x:c r="N20" s="4" t="str">
        <x:f t="shared" si="1"/>
        <x:v>화염 정령이(가) 4초마다 적에게 7만큼 발화 중첩을 부여합니다.</x:v>
      </x:c>
    </x:row>
    <x:row r="21" spans="1:14" ht="15.75" customHeight="1">
      <x:c r="A21" s="12">
        <x:f>VLOOKUP(C21,{"Weapon",1000;"Companion",2000;"Armor",3000;"Accessory",4000;"Tool",5000;"Consumable",6000;"Food",7000;"Artifact",8000;"Material",9000;"Toy",10000},2,FALSE)+COUNTIF($C$4:C21,C21)</x:f>
        <x:v>2006</x:v>
      </x:c>
      <x:c r="B21" s="14" t="s">
        <x:v>123</x:v>
      </x:c>
      <x:c r="C21" s="14" t="s">
        <x:v>70</x:v>
      </x:c>
      <x:c r="D21" s="15">
        <x:v>2</x:v>
      </x:c>
      <x:c r="E21" s="15">
        <x:v>7</x:v>
      </x:c>
      <x:c r="F21" s="7">
        <x:f t="shared" si="0"/>
        <x:v>4</x:v>
      </x:c>
      <x:c r="G21" s="14" t="s">
        <x:v>152</x:v>
      </x:c>
      <x:c r="H21" s="14" t="s">
        <x:v>129</x:v>
      </x:c>
      <x:c r="I21" s="14"/>
      <x:c r="J21" s="15">
        <x:v>6</x:v>
      </x:c>
      <x:c r="K21" s="14"/>
      <x:c r="L21" s="15">
        <x:v>4</x:v>
      </x:c>
      <x:c r="M21" s="14"/>
      <x:c r="N21" s="4" t="str">
        <x:f t="shared" si="1"/>
        <x:v>떠돌이 용병이(가) 4초마다 적에게 6만큼 직접피해를 입힙니다.</x:v>
      </x:c>
    </x:row>
    <x:row r="22" spans="1:14" ht="15.75" customHeight="1">
      <x:c r="A22" s="12">
        <x:f>VLOOKUP(C22,{"Weapon",1000;"Companion",2000;"Armor",3000;"Accessory",4000;"Tool",5000;"Consumable",6000;"Food",7000;"Artifact",8000;"Material",9000;"Toy",10000},2,FALSE)+COUNTIF($C$4:C22,C22)</x:f>
        <x:v>2007</x:v>
      </x:c>
      <x:c r="B22" s="14" t="s">
        <x:v>113</x:v>
      </x:c>
      <x:c r="C22" s="14" t="s">
        <x:v>70</x:v>
      </x:c>
      <x:c r="D22" s="15">
        <x:v>2</x:v>
      </x:c>
      <x:c r="E22" s="15">
        <x:v>8</x:v>
      </x:c>
      <x:c r="F22" s="7">
        <x:f t="shared" si="0"/>
        <x:v>4</x:v>
      </x:c>
      <x:c r="G22" s="14" t="s">
        <x:v>11</x:v>
      </x:c>
      <x:c r="H22" s="14" t="s">
        <x:v>14</x:v>
      </x:c>
      <x:c r="I22" s="14"/>
      <x:c r="J22" s="15">
        <x:v>5</x:v>
      </x:c>
      <x:c r="K22" s="14"/>
      <x:c r="L22" s="14"/>
      <x:c r="M22" s="14"/>
      <x:c r="N22" s="4" t="str">
        <x:f t="shared" si="1"/>
        <x:v>맹독 스파이더이(가) 오른쪽 아이템이 발동할 때마다 5만큼 독 중첩을 부여합니다.</x:v>
      </x:c>
    </x:row>
    <x:row r="23" spans="1:14" ht="15.75" customHeight="1">
      <x:c r="A23" s="12">
        <x:f>VLOOKUP(C23,{"Weapon",1000;"Companion",2000;"Armor",3000;"Accessory",4000;"Tool",5000;"Consumable",6000;"Food",7000;"Artifact",8000;"Material",9000;"Toy",10000},2,FALSE)+COUNTIF($C$4:C23,C23)</x:f>
        <x:v>2008</x:v>
      </x:c>
      <x:c r="B23" s="14" t="s">
        <x:v>80</x:v>
      </x:c>
      <x:c r="C23" s="14" t="s">
        <x:v>70</x:v>
      </x:c>
      <x:c r="D23" s="15">
        <x:v>3</x:v>
      </x:c>
      <x:c r="E23" s="15">
        <x:v>10</x:v>
      </x:c>
      <x:c r="F23" s="7">
        <x:f t="shared" si="0"/>
        <x:v>5</x:v>
      </x:c>
      <x:c r="G23" s="14" t="s">
        <x:v>154</x:v>
      </x:c>
      <x:c r="H23" s="14" t="s">
        <x:v>146</x:v>
      </x:c>
      <x:c r="I23" s="14"/>
      <x:c r="J23" s="15">
        <x:v>22</x:v>
      </x:c>
      <x:c r="K23" s="14"/>
      <x:c r="L23" s="14"/>
      <x:c r="M23" s="14"/>
      <x:c r="N23" s="4" t="str">
        <x:f t="shared" si="1"/>
        <x:v>왕실 정예 근위병이(가) 전투 시작 시 바로 왼쪽 아이템에게 22만큼 쉴드를 획득합니다.</x:v>
      </x:c>
    </x:row>
    <x:row r="24" spans="1:14" ht="15.75" customHeight="1">
      <x:c r="A24" s="12">
        <x:f>VLOOKUP(C24,{"Weapon",1000;"Companion",2000;"Armor",3000;"Accessory",4000;"Tool",5000;"Consumable",6000;"Food",7000;"Artifact",8000;"Material",9000;"Toy",10000},2,FALSE)+COUNTIF($C$4:C24,C24)</x:f>
        <x:v>2009</x:v>
      </x:c>
      <x:c r="B24" s="14" t="s">
        <x:v>71</x:v>
      </x:c>
      <x:c r="C24" s="14" t="s">
        <x:v>70</x:v>
      </x:c>
      <x:c r="D24" s="15">
        <x:v>3</x:v>
      </x:c>
      <x:c r="E24" s="15">
        <x:v>12</x:v>
      </x:c>
      <x:c r="F24" s="7">
        <x:f t="shared" si="0"/>
        <x:v>6</x:v>
      </x:c>
      <x:c r="G24" s="14" t="s">
        <x:v>152</x:v>
      </x:c>
      <x:c r="H24" s="14" t="s">
        <x:v>129</x:v>
      </x:c>
      <x:c r="I24" s="14" t="s">
        <x:v>102</x:v>
      </x:c>
      <x:c r="J24" s="15">
        <x:v>10</x:v>
      </x:c>
      <x:c r="K24" s="15">
        <x:v>6</x:v>
      </x:c>
      <x:c r="L24" s="15">
        <x:v>5</x:v>
      </x:c>
      <x:c r="M24" s="14"/>
      <x:c r="N24" s="4" t="str">
        <x:f t="shared" si="1"/>
        <x:v>대마법사 엘리트 학도이(가) 5초마다 적에게 10만큼 직접피해를 입히고, 6만큼 발화 중첩을 부여합니다.</x:v>
      </x:c>
    </x:row>
    <x:row r="25" spans="1:14" ht="15.75" customHeight="1">
      <x:c r="A25" s="12">
        <x:f>VLOOKUP(C25,{"Weapon",1000;"Companion",2000;"Armor",3000;"Accessory",4000;"Tool",5000;"Consumable",6000;"Food",7000;"Artifact",8000;"Material",9000;"Toy",10000},2,FALSE)+COUNTIF($C$4:C25,C25)</x:f>
        <x:v>2010</x:v>
      </x:c>
      <x:c r="B25" s="14" t="s">
        <x:v>75</x:v>
      </x:c>
      <x:c r="C25" s="14" t="s">
        <x:v>70</x:v>
      </x:c>
      <x:c r="D25" s="15">
        <x:v>3</x:v>
      </x:c>
      <x:c r="E25" s="15">
        <x:v>14</x:v>
      </x:c>
      <x:c r="F25" s="7">
        <x:f t="shared" si="0"/>
        <x:v>7</x:v>
      </x:c>
      <x:c r="G25" s="14" t="s">
        <x:v>10</x:v>
      </x:c>
      <x:c r="H25" s="14" t="s">
        <x:v>146</x:v>
      </x:c>
      <x:c r="I25" s="14"/>
      <x:c r="J25" s="15">
        <x:v>30</x:v>
      </x:c>
      <x:c r="K25" s="14"/>
      <x:c r="L25" s="14"/>
      <x:c r="M25" s="14"/>
      <x:c r="N25" s="4" t="str">
        <x:f t="shared" si="1"/>
        <x:v>고대 수호 골렘이(가) 전투 시작 시 바로 왼쪽과 오른쪽(둘 다) 아이템에게 30만큼 쉴드를 획득합니다.</x:v>
      </x:c>
    </x:row>
    <x:row r="26" spans="1:14" ht="15.75" customHeight="1">
      <x:c r="A26" s="12">
        <x:f>VLOOKUP(C26,{"Weapon",1000;"Companion",2000;"Armor",3000;"Accessory",4000;"Tool",5000;"Consumable",6000;"Food",7000;"Artifact",8000;"Material",9000;"Toy",10000},2,FALSE)+COUNTIF($C$4:C26,C26)</x:f>
        <x:v>3001</x:v>
      </x:c>
      <x:c r="B26" s="14" t="s">
        <x:v>144</x:v>
      </x:c>
      <x:c r="C26" s="14" t="s">
        <x:v>121</x:v>
      </x:c>
      <x:c r="D26" s="15">
        <x:v>1</x:v>
      </x:c>
      <x:c r="E26" s="15">
        <x:v>3</x:v>
      </x:c>
      <x:c r="F26" s="7">
        <x:f t="shared" si="0"/>
        <x:v>2</x:v>
      </x:c>
      <x:c r="G26" s="14" t="s">
        <x:v>16</x:v>
      </x:c>
      <x:c r="H26" s="14" t="s">
        <x:v>146</x:v>
      </x:c>
      <x:c r="I26" s="14"/>
      <x:c r="J26" s="15">
        <x:v>6</x:v>
      </x:c>
      <x:c r="K26" s="14"/>
      <x:c r="L26" s="14"/>
      <x:c r="M26" s="14"/>
      <x:c r="N26" s="4" t="str">
        <x:f t="shared" si="1"/>
        <x:v>가죽 흉갑이(가) 전투 시작 시 바로 6만큼 쉴드를 획득합니다.</x:v>
      </x:c>
    </x:row>
    <x:row r="27" spans="1:14" ht="15.75" customHeight="1">
      <x:c r="A27" s="12">
        <x:f>VLOOKUP(C27,{"Weapon",1000;"Companion",2000;"Armor",3000;"Accessory",4000;"Tool",5000;"Consumable",6000;"Food",7000;"Artifact",8000;"Material",9000;"Toy",10000},2,FALSE)+COUNTIF($C$4:C27,C27)</x:f>
        <x:v>3002</x:v>
      </x:c>
      <x:c r="B27" s="14" t="s">
        <x:v>105</x:v>
      </x:c>
      <x:c r="C27" s="14" t="s">
        <x:v>121</x:v>
      </x:c>
      <x:c r="D27" s="15">
        <x:v>1</x:v>
      </x:c>
      <x:c r="E27" s="15">
        <x:v>5</x:v>
      </x:c>
      <x:c r="F27" s="7">
        <x:f t="shared" si="0"/>
        <x:v>3</x:v>
      </x:c>
      <x:c r="G27" s="14" t="s">
        <x:v>16</x:v>
      </x:c>
      <x:c r="H27" s="14" t="s">
        <x:v>129</x:v>
      </x:c>
      <x:c r="I27" s="14" t="s">
        <x:v>146</x:v>
      </x:c>
      <x:c r="J27" s="15">
        <x:v>2</x:v>
      </x:c>
      <x:c r="K27" s="15">
        <x:v>5</x:v>
      </x:c>
      <x:c r="L27" s="14"/>
      <x:c r="M27" s="14"/>
      <x:c r="N27" s="4" t="str">
        <x:f t="shared" si="1"/>
        <x:v>가시 돋친 숄더패드이(가) 전투 시작 시 바로 2만큼 직접피해를 입히고, 5만큼 쉴드를 획득합니다.</x:v>
      </x:c>
    </x:row>
    <x:row r="28" spans="1:14" ht="15.75" customHeight="1">
      <x:c r="A28" s="12">
        <x:f>VLOOKUP(C28,{"Weapon",1000;"Companion",2000;"Armor",3000;"Accessory",4000;"Tool",5000;"Consumable",6000;"Food",7000;"Artifact",8000;"Material",9000;"Toy",10000},2,FALSE)+COUNTIF($C$4:C28,C28)</x:f>
        <x:v>3003</x:v>
      </x:c>
      <x:c r="B28" s="14" t="s">
        <x:v>141</x:v>
      </x:c>
      <x:c r="C28" s="14" t="s">
        <x:v>121</x:v>
      </x:c>
      <x:c r="D28" s="15">
        <x:v>2</x:v>
      </x:c>
      <x:c r="E28" s="15">
        <x:v>6</x:v>
      </x:c>
      <x:c r="F28" s="7">
        <x:f t="shared" si="0"/>
        <x:v>3</x:v>
      </x:c>
      <x:c r="G28" s="14" t="s">
        <x:v>16</x:v>
      </x:c>
      <x:c r="H28" s="14" t="s">
        <x:v>146</x:v>
      </x:c>
      <x:c r="I28" s="14"/>
      <x:c r="J28" s="15">
        <x:v>14</x:v>
      </x:c>
      <x:c r="K28" s="14"/>
      <x:c r="L28" s="14"/>
      <x:c r="M28" s="14"/>
      <x:c r="N28" s="4" t="str">
        <x:f t="shared" si="1"/>
        <x:v>사슬 갑옷이(가) 전투 시작 시 바로 14만큼 쉴드를 획득합니다.</x:v>
      </x:c>
    </x:row>
    <x:row r="29" spans="1:14" ht="15.75" customHeight="1">
      <x:c r="A29" s="12">
        <x:f>VLOOKUP(C29,{"Weapon",1000;"Companion",2000;"Armor",3000;"Accessory",4000;"Tool",5000;"Consumable",6000;"Food",7000;"Artifact",8000;"Material",9000;"Toy",10000},2,FALSE)+COUNTIF($C$4:C29,C29)</x:f>
        <x:v>3004</x:v>
      </x:c>
      <x:c r="B29" s="14" t="s">
        <x:v>139</x:v>
      </x:c>
      <x:c r="C29" s="14" t="s">
        <x:v>121</x:v>
      </x:c>
      <x:c r="D29" s="15">
        <x:v>2</x:v>
      </x:c>
      <x:c r="E29" s="15">
        <x:v>8</x:v>
      </x:c>
      <x:c r="F29" s="7">
        <x:f t="shared" si="0"/>
        <x:v>4</x:v>
      </x:c>
      <x:c r="G29" s="14" t="s">
        <x:v>154</x:v>
      </x:c>
      <x:c r="H29" s="14" t="s">
        <x:v>146</x:v>
      </x:c>
      <x:c r="I29" s="14"/>
      <x:c r="J29" s="15">
        <x:v>18</x:v>
      </x:c>
      <x:c r="K29" s="14"/>
      <x:c r="L29" s="14"/>
      <x:c r="M29" s="14"/>
      <x:c r="N29" s="4" t="str">
        <x:f t="shared" si="1"/>
        <x:v>플레이트 메일이(가) 전투 시작 시 바로 왼쪽 아이템에게 18만큼 쉴드를 획득합니다.</x:v>
      </x:c>
    </x:row>
    <x:row r="30" spans="1:14" ht="15.75" customHeight="1">
      <x:c r="A30" s="12">
        <x:f>VLOOKUP(C30,{"Weapon",1000;"Companion",2000;"Armor",3000;"Accessory",4000;"Tool",5000;"Consumable",6000;"Food",7000;"Artifact",8000;"Material",9000;"Toy",10000},2,FALSE)+COUNTIF($C$4:C30,C30)</x:f>
        <x:v>3005</x:v>
      </x:c>
      <x:c r="B30" s="14" t="s">
        <x:v>18</x:v>
      </x:c>
      <x:c r="C30" s="14" t="s">
        <x:v>121</x:v>
      </x:c>
      <x:c r="D30" s="15">
        <x:v>2</x:v>
      </x:c>
      <x:c r="E30" s="15">
        <x:v>9</x:v>
      </x:c>
      <x:c r="F30" s="7">
        <x:f t="shared" si="0"/>
        <x:v>5</x:v>
      </x:c>
      <x:c r="G30" s="14" t="s">
        <x:v>10</x:v>
      </x:c>
      <x:c r="H30" s="14" t="s">
        <x:v>146</x:v>
      </x:c>
      <x:c r="I30" s="14"/>
      <x:c r="J30" s="15">
        <x:v>12</x:v>
      </x:c>
      <x:c r="K30" s="14"/>
      <x:c r="L30" s="14"/>
      <x:c r="M30" s="14"/>
      <x:c r="N30" s="4" t="str">
        <x:f t="shared" si="1"/>
        <x:v>기사의 영광스러운 방패이(가) 전투 시작 시 바로 왼쪽과 오른쪽(둘 다) 아이템에게 12만큼 쉴드를 획득합니다.</x:v>
      </x:c>
    </x:row>
    <x:row r="31" spans="1:14" ht="15.75" customHeight="1">
      <x:c r="A31" s="12">
        <x:f>VLOOKUP(C31,{"Weapon",1000;"Companion",2000;"Armor",3000;"Accessory",4000;"Tool",5000;"Consumable",6000;"Food",7000;"Artifact",8000;"Material",9000;"Toy",10000},2,FALSE)+COUNTIF($C$4:C31,C31)</x:f>
        <x:v>3006</x:v>
      </x:c>
      <x:c r="B31" s="14" t="s">
        <x:v>101</x:v>
      </x:c>
      <x:c r="C31" s="14" t="s">
        <x:v>121</x:v>
      </x:c>
      <x:c r="D31" s="15">
        <x:v>2</x:v>
      </x:c>
      <x:c r="E31" s="15">
        <x:v>7</x:v>
      </x:c>
      <x:c r="F31" s="7">
        <x:f t="shared" si="0"/>
        <x:v>4</x:v>
      </x:c>
      <x:c r="G31" s="14" t="s">
        <x:v>152</x:v>
      </x:c>
      <x:c r="H31" s="14" t="s">
        <x:v>14</x:v>
      </x:c>
      <x:c r="I31" s="14" t="s">
        <x:v>146</x:v>
      </x:c>
      <x:c r="J31" s="15">
        <x:v>3</x:v>
      </x:c>
      <x:c r="K31" s="15">
        <x:v>5</x:v>
      </x:c>
      <x:c r="L31" s="15">
        <x:v>4</x:v>
      </x:c>
      <x:c r="M31" s="14"/>
      <x:c r="N31" s="4" t="str">
        <x:f t="shared" si="1"/>
        <x:v>역병 의사의 로브이(가) 4초마다 적에게 3만큼 독 중첩을 부여하고, 5만큼 쉴드를 획득합니다.</x:v>
      </x:c>
    </x:row>
    <x:row r="32" spans="1:14" ht="15.75" customHeight="1">
      <x:c r="A32" s="12">
        <x:f>VLOOKUP(C32,{"Weapon",1000;"Companion",2000;"Armor",3000;"Accessory",4000;"Tool",5000;"Consumable",6000;"Food",7000;"Artifact",8000;"Material",9000;"Toy",10000},2,FALSE)+COUNTIF($C$4:C32,C32)</x:f>
        <x:v>3007</x:v>
      </x:c>
      <x:c r="B32" s="14" t="s">
        <x:v>104</x:v>
      </x:c>
      <x:c r="C32" s="14" t="s">
        <x:v>121</x:v>
      </x:c>
      <x:c r="D32" s="15">
        <x:v>2</x:v>
      </x:c>
      <x:c r="E32" s="15">
        <x:v>9</x:v>
      </x:c>
      <x:c r="F32" s="7">
        <x:f t="shared" si="0"/>
        <x:v>5</x:v>
      </x:c>
      <x:c r="G32" s="14" t="s">
        <x:v>152</x:v>
      </x:c>
      <x:c r="H32" s="14" t="s">
        <x:v>102</x:v>
      </x:c>
      <x:c r="I32" s="14" t="s">
        <x:v>146</x:v>
      </x:c>
      <x:c r="J32" s="15">
        <x:v>4</x:v>
      </x:c>
      <x:c r="K32" s="15">
        <x:v>6</x:v>
      </x:c>
      <x:c r="L32" s="15">
        <x:v>4</x:v>
      </x:c>
      <x:c r="M32" s="14"/>
      <x:c r="N32" s="4" t="str">
        <x:f t="shared" si="1"/>
        <x:v>타오르는 불꽃 갑옷이(가) 4초마다 적에게 4만큼 발화 중첩을 부여하고, 6만큼 쉴드를 획득합니다.</x:v>
      </x:c>
    </x:row>
    <x:row r="33" spans="1:14" ht="15.75" customHeight="1">
      <x:c r="A33" s="12">
        <x:f>VLOOKUP(C33,{"Weapon",1000;"Companion",2000;"Armor",3000;"Accessory",4000;"Tool",5000;"Consumable",6000;"Food",7000;"Artifact",8000;"Material",9000;"Toy",10000},2,FALSE)+COUNTIF($C$4:C33,C33)</x:f>
        <x:v>3008</x:v>
      </x:c>
      <x:c r="B33" s="14" t="s">
        <x:v>95</x:v>
      </x:c>
      <x:c r="C33" s="14" t="s">
        <x:v>121</x:v>
      </x:c>
      <x:c r="D33" s="15">
        <x:v>2</x:v>
      </x:c>
      <x:c r="E33" s="15">
        <x:v>8</x:v>
      </x:c>
      <x:c r="F33" s="7">
        <x:f t="shared" si="0"/>
        <x:v>4</x:v>
      </x:c>
      <x:c r="G33" s="14" t="s">
        <x:v>151</x:v>
      </x:c>
      <x:c r="H33" s="14" t="s">
        <x:v>143</x:v>
      </x:c>
      <x:c r="I33" s="14" t="s">
        <x:v>146</x:v>
      </x:c>
      <x:c r="J33" s="15">
        <x:v>3</x:v>
      </x:c>
      <x:c r="K33" s="15">
        <x:v>5</x:v>
      </x:c>
      <x:c r="L33" s="15">
        <x:v>4</x:v>
      </x:c>
      <x:c r="M33" s="14"/>
      <x:c r="N33" s="4" t="str">
        <x:f t="shared" si="1"/>
        <x:v>치유의 사제 의복이(가) 4초마다 왼쪽 아이템에게 3만큼 회복하고, 5만큼 쉴드를 획득합니다.</x:v>
      </x:c>
    </x:row>
    <x:row r="34" spans="1:14" ht="15.75" customHeight="1">
      <x:c r="A34" s="12">
        <x:f>VLOOKUP(C34,{"Weapon",1000;"Companion",2000;"Armor",3000;"Accessory",4000;"Tool",5000;"Consumable",6000;"Food",7000;"Artifact",8000;"Material",9000;"Toy",10000},2,FALSE)+COUNTIF($C$4:C34,C34)</x:f>
        <x:v>3009</x:v>
      </x:c>
      <x:c r="B34" s="14" t="s">
        <x:v>76</x:v>
      </x:c>
      <x:c r="C34" s="14" t="s">
        <x:v>121</x:v>
      </x:c>
      <x:c r="D34" s="15">
        <x:v>3</x:v>
      </x:c>
      <x:c r="E34" s="15">
        <x:v>12</x:v>
      </x:c>
      <x:c r="F34" s="7">
        <x:f t="shared" si="0"/>
        <x:v>6</x:v>
      </x:c>
      <x:c r="G34" s="14" t="s">
        <x:v>10</x:v>
      </x:c>
      <x:c r="H34" s="14" t="s">
        <x:v>143</x:v>
      </x:c>
      <x:c r="I34" s="14" t="s">
        <x:v>146</x:v>
      </x:c>
      <x:c r="J34" s="15">
        <x:v>8</x:v>
      </x:c>
      <x:c r="K34" s="15">
        <x:v>20</x:v>
      </x:c>
      <x:c r="L34" s="14"/>
      <x:c r="M34" s="14"/>
      <x:c r="N34" s="4" t="str">
        <x:f t="shared" si="1"/>
        <x:v>성기사의 신성한 갑옷이(가) 전투 시작 시 바로 왼쪽과 오른쪽(둘 다) 아이템에게 8만큼 회복하고, 20만큼 쉴드를 획득합니다.</x:v>
      </x:c>
    </x:row>
    <x:row r="35" spans="1:14" ht="15.75" customHeight="1">
      <x:c r="A35" s="12">
        <x:f>VLOOKUP(C35,{"Weapon",1000;"Companion",2000;"Armor",3000;"Accessory",4000;"Tool",5000;"Consumable",6000;"Food",7000;"Artifact",8000;"Material",9000;"Toy",10000},2,FALSE)+COUNTIF($C$4:C35,C35)</x:f>
        <x:v>3010</x:v>
      </x:c>
      <x:c r="B35" s="14" t="s">
        <x:v>107</x:v>
      </x:c>
      <x:c r="C35" s="14" t="s">
        <x:v>121</x:v>
      </x:c>
      <x:c r="D35" s="15">
        <x:v>3</x:v>
      </x:c>
      <x:c r="E35" s="15">
        <x:v>14</x:v>
      </x:c>
      <x:c r="F35" s="7">
        <x:f t="shared" si="0"/>
        <x:v>7</x:v>
      </x:c>
      <x:c r="G35" s="14" t="s">
        <x:v>152</x:v>
      </x:c>
      <x:c r="H35" s="14" t="s">
        <x:v>102</x:v>
      </x:c>
      <x:c r="I35" s="14" t="s">
        <x:v>146</x:v>
      </x:c>
      <x:c r="J35" s="15">
        <x:v>6</x:v>
      </x:c>
      <x:c r="K35" s="15">
        <x:v>12</x:v>
      </x:c>
      <x:c r="L35" s="15">
        <x:v>3</x:v>
      </x:c>
      <x:c r="M35" s="14"/>
      <x:c r="N35" s="4" t="str">
        <x:f t="shared" si="1"/>
        <x:v>불멸자의 드래곤 흉갑이(가) 3초마다 적에게 6만큼 발화 중첩을 부여하고, 12만큼 쉴드를 획득합니다.</x:v>
      </x:c>
    </x:row>
    <x:row r="36" spans="1:14" ht="15.75" customHeight="1">
      <x:c r="A36" s="12">
        <x:f>VLOOKUP(C36,{"Weapon",1000;"Companion",2000;"Armor",3000;"Accessory",4000;"Tool",5000;"Consumable",6000;"Food",7000;"Artifact",8000;"Material",9000;"Toy",10000},2,FALSE)+COUNTIF($C$4:C36,C36)</x:f>
        <x:v>3011</x:v>
      </x:c>
      <x:c r="B36" s="14" t="s">
        <x:v>144</x:v>
      </x:c>
      <x:c r="C36" s="14" t="s">
        <x:v>121</x:v>
      </x:c>
      <x:c r="D36" s="15">
        <x:v>1</x:v>
      </x:c>
      <x:c r="E36" s="15">
        <x:v>3</x:v>
      </x:c>
      <x:c r="F36" s="7">
        <x:f t="shared" si="0"/>
        <x:v>2</x:v>
      </x:c>
      <x:c r="G36" s="14" t="s">
        <x:v>16</x:v>
      </x:c>
      <x:c r="H36" s="14" t="s">
        <x:v>146</x:v>
      </x:c>
      <x:c r="I36" s="14"/>
      <x:c r="J36" s="15">
        <x:v>6</x:v>
      </x:c>
      <x:c r="K36" s="14"/>
      <x:c r="L36" s="14"/>
      <x:c r="M36" s="14"/>
      <x:c r="N36" s="4" t="str">
        <x:f t="shared" si="1"/>
        <x:v>가죽 흉갑이(가) 전투 시작 시 바로 6만큼 쉴드를 획득합니다.</x:v>
      </x:c>
    </x:row>
    <x:row r="37" spans="1:14" ht="15.75" customHeight="1">
      <x:c r="A37" s="12">
        <x:f>VLOOKUP(C37,{"Weapon",1000;"Companion",2000;"Armor",3000;"Accessory",4000;"Tool",5000;"Consumable",6000;"Food",7000;"Artifact",8000;"Material",9000;"Toy",10000},2,FALSE)+COUNTIF($C$4:C37,C37)</x:f>
        <x:v>3012</x:v>
      </x:c>
      <x:c r="B37" s="14" t="s">
        <x:v>105</x:v>
      </x:c>
      <x:c r="C37" s="14" t="s">
        <x:v>121</x:v>
      </x:c>
      <x:c r="D37" s="15">
        <x:v>1</x:v>
      </x:c>
      <x:c r="E37" s="15">
        <x:v>5</x:v>
      </x:c>
      <x:c r="F37" s="7">
        <x:f t="shared" si="0"/>
        <x:v>3</x:v>
      </x:c>
      <x:c r="G37" s="14" t="s">
        <x:v>16</x:v>
      </x:c>
      <x:c r="H37" s="14" t="s">
        <x:v>129</x:v>
      </x:c>
      <x:c r="I37" s="14" t="s">
        <x:v>146</x:v>
      </x:c>
      <x:c r="J37" s="15">
        <x:v>2</x:v>
      </x:c>
      <x:c r="K37" s="15">
        <x:v>5</x:v>
      </x:c>
      <x:c r="L37" s="14"/>
      <x:c r="M37" s="14"/>
      <x:c r="N37" s="4" t="str">
        <x:f t="shared" si="1"/>
        <x:v>가시 돋친 숄더패드이(가) 전투 시작 시 바로 2만큼 직접피해를 입히고, 5만큼 쉴드를 획득합니다.</x:v>
      </x:c>
    </x:row>
    <x:row r="38" spans="1:14" ht="15.75" customHeight="1">
      <x:c r="A38" s="12">
        <x:f>VLOOKUP(C38,{"Weapon",1000;"Companion",2000;"Armor",3000;"Accessory",4000;"Tool",5000;"Consumable",6000;"Food",7000;"Artifact",8000;"Material",9000;"Toy",10000},2,FALSE)+COUNTIF($C$4:C38,C38)</x:f>
        <x:v>3013</x:v>
      </x:c>
      <x:c r="B38" s="14" t="s">
        <x:v>141</x:v>
      </x:c>
      <x:c r="C38" s="14" t="s">
        <x:v>121</x:v>
      </x:c>
      <x:c r="D38" s="15">
        <x:v>2</x:v>
      </x:c>
      <x:c r="E38" s="15">
        <x:v>6</x:v>
      </x:c>
      <x:c r="F38" s="7">
        <x:f t="shared" si="0"/>
        <x:v>3</x:v>
      </x:c>
      <x:c r="G38" s="14" t="s">
        <x:v>16</x:v>
      </x:c>
      <x:c r="H38" s="14" t="s">
        <x:v>146</x:v>
      </x:c>
      <x:c r="I38" s="14"/>
      <x:c r="J38" s="15">
        <x:v>14</x:v>
      </x:c>
      <x:c r="K38" s="14"/>
      <x:c r="L38" s="14"/>
      <x:c r="M38" s="14"/>
      <x:c r="N38" s="4" t="str">
        <x:f t="shared" si="1"/>
        <x:v>사슬 갑옷이(가) 전투 시작 시 바로 14만큼 쉴드를 획득합니다.</x:v>
      </x:c>
    </x:row>
    <x:row r="39" spans="1:14" ht="15.75" customHeight="1">
      <x:c r="A39" s="12">
        <x:f>VLOOKUP(C39,{"Weapon",1000;"Companion",2000;"Armor",3000;"Accessory",4000;"Tool",5000;"Consumable",6000;"Food",7000;"Artifact",8000;"Material",9000;"Toy",10000},2,FALSE)+COUNTIF($C$4:C39,C39)</x:f>
        <x:v>3014</x:v>
      </x:c>
      <x:c r="B39" s="14" t="s">
        <x:v>139</x:v>
      </x:c>
      <x:c r="C39" s="14" t="s">
        <x:v>121</x:v>
      </x:c>
      <x:c r="D39" s="15">
        <x:v>2</x:v>
      </x:c>
      <x:c r="E39" s="15">
        <x:v>8</x:v>
      </x:c>
      <x:c r="F39" s="7">
        <x:f t="shared" si="0"/>
        <x:v>4</x:v>
      </x:c>
      <x:c r="G39" s="14" t="s">
        <x:v>154</x:v>
      </x:c>
      <x:c r="H39" s="14" t="s">
        <x:v>146</x:v>
      </x:c>
      <x:c r="I39" s="14"/>
      <x:c r="J39" s="15">
        <x:v>18</x:v>
      </x:c>
      <x:c r="K39" s="14"/>
      <x:c r="L39" s="14"/>
      <x:c r="M39" s="14"/>
      <x:c r="N39" s="4" t="str">
        <x:f t="shared" si="1"/>
        <x:v>플레이트 메일이(가) 전투 시작 시 바로 왼쪽 아이템에게 18만큼 쉴드를 획득합니다.</x:v>
      </x:c>
    </x:row>
    <x:row r="40" spans="1:14" ht="15.75" customHeight="1">
      <x:c r="A40" s="12">
        <x:f>VLOOKUP(C40,{"Weapon",1000;"Companion",2000;"Armor",3000;"Accessory",4000;"Tool",5000;"Consumable",6000;"Food",7000;"Artifact",8000;"Material",9000;"Toy",10000},2,FALSE)+COUNTIF($C$4:C40,C40)</x:f>
        <x:v>3015</x:v>
      </x:c>
      <x:c r="B40" s="14" t="s">
        <x:v>18</x:v>
      </x:c>
      <x:c r="C40" s="14" t="s">
        <x:v>121</x:v>
      </x:c>
      <x:c r="D40" s="15">
        <x:v>2</x:v>
      </x:c>
      <x:c r="E40" s="15">
        <x:v>9</x:v>
      </x:c>
      <x:c r="F40" s="7">
        <x:f t="shared" si="0"/>
        <x:v>5</x:v>
      </x:c>
      <x:c r="G40" s="14" t="s">
        <x:v>10</x:v>
      </x:c>
      <x:c r="H40" s="14" t="s">
        <x:v>146</x:v>
      </x:c>
      <x:c r="I40" s="14"/>
      <x:c r="J40" s="15">
        <x:v>12</x:v>
      </x:c>
      <x:c r="K40" s="14"/>
      <x:c r="L40" s="14"/>
      <x:c r="M40" s="14"/>
      <x:c r="N40" s="4" t="str">
        <x:f t="shared" si="1"/>
        <x:v>기사의 영광스러운 방패이(가) 전투 시작 시 바로 왼쪽과 오른쪽(둘 다) 아이템에게 12만큼 쉴드를 획득합니다.</x:v>
      </x:c>
    </x:row>
    <x:row r="41" spans="1:14" ht="15.75" customHeight="1">
      <x:c r="A41" s="12">
        <x:f>VLOOKUP(C41,{"Weapon",1000;"Companion",2000;"Armor",3000;"Accessory",4000;"Tool",5000;"Consumable",6000;"Food",7000;"Artifact",8000;"Material",9000;"Toy",10000},2,FALSE)+COUNTIF($C$4:C41,C41)</x:f>
        <x:v>3016</x:v>
      </x:c>
      <x:c r="B41" s="14" t="s">
        <x:v>101</x:v>
      </x:c>
      <x:c r="C41" s="14" t="s">
        <x:v>121</x:v>
      </x:c>
      <x:c r="D41" s="15">
        <x:v>2</x:v>
      </x:c>
      <x:c r="E41" s="15">
        <x:v>7</x:v>
      </x:c>
      <x:c r="F41" s="7">
        <x:f t="shared" si="0"/>
        <x:v>4</x:v>
      </x:c>
      <x:c r="G41" s="14" t="s">
        <x:v>152</x:v>
      </x:c>
      <x:c r="H41" s="14" t="s">
        <x:v>14</x:v>
      </x:c>
      <x:c r="I41" s="14" t="s">
        <x:v>146</x:v>
      </x:c>
      <x:c r="J41" s="15">
        <x:v>3</x:v>
      </x:c>
      <x:c r="K41" s="15">
        <x:v>5</x:v>
      </x:c>
      <x:c r="L41" s="15">
        <x:v>4</x:v>
      </x:c>
      <x:c r="M41" s="14"/>
      <x:c r="N41" s="4" t="str">
        <x:f t="shared" si="1"/>
        <x:v>역병 의사의 로브이(가) 4초마다 적에게 3만큼 독 중첩을 부여하고, 5만큼 쉴드를 획득합니다.</x:v>
      </x:c>
    </x:row>
    <x:row r="42" spans="1:14" ht="15.75" customHeight="1">
      <x:c r="A42" s="12">
        <x:f>VLOOKUP(C42,{"Weapon",1000;"Companion",2000;"Armor",3000;"Accessory",4000;"Tool",5000;"Consumable",6000;"Food",7000;"Artifact",8000;"Material",9000;"Toy",10000},2,FALSE)+COUNTIF($C$4:C42,C42)</x:f>
        <x:v>3017</x:v>
      </x:c>
      <x:c r="B42" s="14" t="s">
        <x:v>104</x:v>
      </x:c>
      <x:c r="C42" s="14" t="s">
        <x:v>121</x:v>
      </x:c>
      <x:c r="D42" s="15">
        <x:v>2</x:v>
      </x:c>
      <x:c r="E42" s="15">
        <x:v>9</x:v>
      </x:c>
      <x:c r="F42" s="7">
        <x:f t="shared" si="0"/>
        <x:v>5</x:v>
      </x:c>
      <x:c r="G42" s="14" t="s">
        <x:v>152</x:v>
      </x:c>
      <x:c r="H42" s="14" t="s">
        <x:v>102</x:v>
      </x:c>
      <x:c r="I42" s="14" t="s">
        <x:v>146</x:v>
      </x:c>
      <x:c r="J42" s="15">
        <x:v>4</x:v>
      </x:c>
      <x:c r="K42" s="15">
        <x:v>6</x:v>
      </x:c>
      <x:c r="L42" s="15">
        <x:v>4</x:v>
      </x:c>
      <x:c r="M42" s="14"/>
      <x:c r="N42" s="4" t="str">
        <x:f t="shared" si="1"/>
        <x:v>타오르는 불꽃 갑옷이(가) 4초마다 적에게 4만큼 발화 중첩을 부여하고, 6만큼 쉴드를 획득합니다.</x:v>
      </x:c>
    </x:row>
    <x:row r="43" spans="1:14" ht="15.75" customHeight="1">
      <x:c r="A43" s="12">
        <x:f>VLOOKUP(C43,{"Weapon",1000;"Companion",2000;"Armor",3000;"Accessory",4000;"Tool",5000;"Consumable",6000;"Food",7000;"Artifact",8000;"Material",9000;"Toy",10000},2,FALSE)+COUNTIF($C$4:C43,C43)</x:f>
        <x:v>3018</x:v>
      </x:c>
      <x:c r="B43" s="14" t="s">
        <x:v>95</x:v>
      </x:c>
      <x:c r="C43" s="14" t="s">
        <x:v>121</x:v>
      </x:c>
      <x:c r="D43" s="15">
        <x:v>2</x:v>
      </x:c>
      <x:c r="E43" s="15">
        <x:v>8</x:v>
      </x:c>
      <x:c r="F43" s="7">
        <x:f t="shared" si="0"/>
        <x:v>4</x:v>
      </x:c>
      <x:c r="G43" s="14" t="s">
        <x:v>151</x:v>
      </x:c>
      <x:c r="H43" s="14" t="s">
        <x:v>143</x:v>
      </x:c>
      <x:c r="I43" s="14" t="s">
        <x:v>146</x:v>
      </x:c>
      <x:c r="J43" s="15">
        <x:v>3</x:v>
      </x:c>
      <x:c r="K43" s="15">
        <x:v>5</x:v>
      </x:c>
      <x:c r="L43" s="15">
        <x:v>4</x:v>
      </x:c>
      <x:c r="M43" s="14"/>
      <x:c r="N43" s="4" t="str">
        <x:f t="shared" si="1"/>
        <x:v>치유의 사제 의복이(가) 4초마다 왼쪽 아이템에게 3만큼 회복하고, 5만큼 쉴드를 획득합니다.</x:v>
      </x:c>
    </x:row>
    <x:row r="44" spans="1:14" ht="15.75" customHeight="1">
      <x:c r="A44" s="12">
        <x:f>VLOOKUP(C44,{"Weapon",1000;"Companion",2000;"Armor",3000;"Accessory",4000;"Tool",5000;"Consumable",6000;"Food",7000;"Artifact",8000;"Material",9000;"Toy",10000},2,FALSE)+COUNTIF($C$4:C44,C44)</x:f>
        <x:v>3019</x:v>
      </x:c>
      <x:c r="B44" s="14" t="s">
        <x:v>76</x:v>
      </x:c>
      <x:c r="C44" s="14" t="s">
        <x:v>121</x:v>
      </x:c>
      <x:c r="D44" s="15">
        <x:v>3</x:v>
      </x:c>
      <x:c r="E44" s="15">
        <x:v>12</x:v>
      </x:c>
      <x:c r="F44" s="7">
        <x:f t="shared" si="0"/>
        <x:v>6</x:v>
      </x:c>
      <x:c r="G44" s="14" t="s">
        <x:v>10</x:v>
      </x:c>
      <x:c r="H44" s="14" t="s">
        <x:v>143</x:v>
      </x:c>
      <x:c r="I44" s="14" t="s">
        <x:v>146</x:v>
      </x:c>
      <x:c r="J44" s="15">
        <x:v>8</x:v>
      </x:c>
      <x:c r="K44" s="15">
        <x:v>20</x:v>
      </x:c>
      <x:c r="L44" s="14"/>
      <x:c r="M44" s="14"/>
      <x:c r="N44" s="4" t="str">
        <x:f t="shared" si="1"/>
        <x:v>성기사의 신성한 갑옷이(가) 전투 시작 시 바로 왼쪽과 오른쪽(둘 다) 아이템에게 8만큼 회복하고, 20만큼 쉴드를 획득합니다.</x:v>
      </x:c>
    </x:row>
    <x:row r="45" spans="1:14" ht="15.75" customHeight="1">
      <x:c r="A45" s="12">
        <x:f>VLOOKUP(C45,{"Weapon",1000;"Companion",2000;"Armor",3000;"Accessory",4000;"Tool",5000;"Consumable",6000;"Food",7000;"Artifact",8000;"Material",9000;"Toy",10000},2,FALSE)+COUNTIF($C$4:C45,C45)</x:f>
        <x:v>3020</x:v>
      </x:c>
      <x:c r="B45" s="14" t="s">
        <x:v>107</x:v>
      </x:c>
      <x:c r="C45" s="14" t="s">
        <x:v>121</x:v>
      </x:c>
      <x:c r="D45" s="15">
        <x:v>3</x:v>
      </x:c>
      <x:c r="E45" s="15">
        <x:v>14</x:v>
      </x:c>
      <x:c r="F45" s="7">
        <x:f t="shared" si="0"/>
        <x:v>7</x:v>
      </x:c>
      <x:c r="G45" s="14" t="s">
        <x:v>152</x:v>
      </x:c>
      <x:c r="H45" s="14" t="s">
        <x:v>102</x:v>
      </x:c>
      <x:c r="I45" s="14" t="s">
        <x:v>146</x:v>
      </x:c>
      <x:c r="J45" s="15">
        <x:v>6</x:v>
      </x:c>
      <x:c r="K45" s="15">
        <x:v>12</x:v>
      </x:c>
      <x:c r="L45" s="15">
        <x:v>3</x:v>
      </x:c>
      <x:c r="M45" s="14"/>
      <x:c r="N45" s="4" t="str">
        <x:f t="shared" si="1"/>
        <x:v>불멸자의 드래곤 흉갑이(가) 3초마다 적에게 6만큼 발화 중첩을 부여하고, 12만큼 쉴드를 획득합니다.</x:v>
      </x:c>
    </x:row>
    <x:row r="46" spans="1:14" ht="15.75" customHeight="1">
      <x:c r="A46" s="12">
        <x:f>VLOOKUP(C46,{"Weapon",1000;"Companion",2000;"Armor",3000;"Accessory",4000;"Tool",5000;"Consumable",6000;"Food",7000;"Artifact",8000;"Material",9000;"Toy",10000},2,FALSE)+COUNTIF($C$4:C46,C46)</x:f>
        <x:v>4001</x:v>
      </x:c>
      <x:c r="B46" s="14" t="s">
        <x:v>93</x:v>
      </x:c>
      <x:c r="C46" s="14" t="s">
        <x:v>73</x:v>
      </x:c>
      <x:c r="D46" s="15">
        <x:v>1</x:v>
      </x:c>
      <x:c r="E46" s="15">
        <x:v>3</x:v>
      </x:c>
      <x:c r="F46" s="7">
        <x:f t="shared" si="0"/>
        <x:v>2</x:v>
      </x:c>
      <x:c r="G46" s="14" t="s">
        <x:v>16</x:v>
      </x:c>
      <x:c r="H46" s="14" t="s">
        <x:v>146</x:v>
      </x:c>
      <x:c r="I46" s="14"/>
      <x:c r="J46" s="15">
        <x:v>5</x:v>
      </x:c>
      <x:c r="K46" s="14"/>
      <x:c r="L46" s="14"/>
      <x:c r="M46" s="14"/>
      <x:c r="N46" s="4" t="str">
        <x:f t="shared" si="1"/>
        <x:v>행운의 네잎클로버이(가) 전투 시작 시 바로 5만큼 쉴드를 획득합니다.</x:v>
      </x:c>
    </x:row>
    <x:row r="47" spans="1:14" ht="15.75" customHeight="1">
      <x:c r="A47" s="12">
        <x:f>VLOOKUP(C47,{"Weapon",1000;"Companion",2000;"Armor",3000;"Accessory",4000;"Tool",5000;"Consumable",6000;"Food",7000;"Artifact",8000;"Material",9000;"Toy",10000},2,FALSE)+COUNTIF($C$4:C47,C47)</x:f>
        <x:v>4002</x:v>
      </x:c>
      <x:c r="B47" s="14" t="s">
        <x:v>85</x:v>
      </x:c>
      <x:c r="C47" s="14" t="s">
        <x:v>73</x:v>
      </x:c>
      <x:c r="D47" s="15">
        <x:v>1</x:v>
      </x:c>
      <x:c r="E47" s="15">
        <x:v>5</x:v>
      </x:c>
      <x:c r="F47" s="7">
        <x:f t="shared" si="0"/>
        <x:v>3</x:v>
      </x:c>
      <x:c r="G47" s="14" t="s">
        <x:v>152</x:v>
      </x:c>
      <x:c r="H47" s="14" t="s">
        <x:v>129</x:v>
      </x:c>
      <x:c r="I47" s="14" t="s">
        <x:v>143</x:v>
      </x:c>
      <x:c r="J47" s="15">
        <x:v>2</x:v>
      </x:c>
      <x:c r="K47" s="15">
        <x:v>2</x:v>
      </x:c>
      <x:c r="L47" s="15">
        <x:v>4</x:v>
      </x:c>
      <x:c r="M47" s="14"/>
      <x:c r="N47" s="4" t="str">
        <x:f t="shared" si="1"/>
        <x:v>뱀파이어의 귀걸이이(가) 4초마다 적에게 2만큼 직접피해를 입히고, 2만큼 회복을 획득합니다.</x:v>
      </x:c>
    </x:row>
    <x:row r="48" spans="1:14" ht="15.75" customHeight="1">
      <x:c r="A48" s="12">
        <x:f>VLOOKUP(C48,{"Weapon",1000;"Companion",2000;"Armor",3000;"Accessory",4000;"Tool",5000;"Consumable",6000;"Food",7000;"Artifact",8000;"Material",9000;"Toy",10000},2,FALSE)+COUNTIF($C$4:C48,C48)</x:f>
        <x:v>4003</x:v>
      </x:c>
      <x:c r="B48" s="14" t="s">
        <x:v>94</x:v>
      </x:c>
      <x:c r="C48" s="14" t="s">
        <x:v>73</x:v>
      </x:c>
      <x:c r="D48" s="15">
        <x:v>2</x:v>
      </x:c>
      <x:c r="E48" s="15">
        <x:v>6</x:v>
      </x:c>
      <x:c r="F48" s="7">
        <x:f t="shared" si="0"/>
        <x:v>3</x:v>
      </x:c>
      <x:c r="G48" s="14" t="s">
        <x:v>153</x:v>
      </x:c>
      <x:c r="H48" s="14" t="s">
        <x:v>146</x:v>
      </x:c>
      <x:c r="I48" s="14"/>
      <x:c r="J48" s="15">
        <x:v>6</x:v>
      </x:c>
      <x:c r="K48" s="14"/>
      <x:c r="L48" s="14"/>
      <x:c r="M48" s="14"/>
      <x:c r="N48" s="4" t="str">
        <x:f t="shared" si="1"/>
        <x:v>현자의 반작이는 반지이(가) 왼쪽 아이템이 발동할 때마다 6만큼 쉴드를 획득합니다.</x:v>
      </x:c>
    </x:row>
    <x:row r="49" spans="1:14" ht="15.75" customHeight="1">
      <x:c r="A49" s="12">
        <x:f>VLOOKUP(C49,{"Weapon",1000;"Companion",2000;"Armor",3000;"Accessory",4000;"Tool",5000;"Consumable",6000;"Food",7000;"Artifact",8000;"Material",9000;"Toy",10000},2,FALSE)+COUNTIF($C$4:C49,C49)</x:f>
        <x:v>4004</x:v>
      </x:c>
      <x:c r="B49" s="14" t="s">
        <x:v>106</x:v>
      </x:c>
      <x:c r="C49" s="14" t="s">
        <x:v>73</x:v>
      </x:c>
      <x:c r="D49" s="15">
        <x:v>2</x:v>
      </x:c>
      <x:c r="E49" s="15">
        <x:v>7</x:v>
      </x:c>
      <x:c r="F49" s="7">
        <x:f t="shared" si="0"/>
        <x:v>4</x:v>
      </x:c>
      <x:c r="G49" s="14" t="s">
        <x:v>152</x:v>
      </x:c>
      <x:c r="H49" s="14" t="s">
        <x:v>14</x:v>
      </x:c>
      <x:c r="I49" s="14"/>
      <x:c r="J49" s="15">
        <x:v>5</x:v>
      </x:c>
      <x:c r="K49" s="14"/>
      <x:c r="L49" s="15">
        <x:v>3</x:v>
      </x:c>
      <x:c r="M49" s="14"/>
      <x:c r="N49" s="4" t="str">
        <x:f t="shared" si="1"/>
        <x:v>독니가 박힌 목걸이이(가) 3초마다 적에게 5만큼 독 중첩을 부여합니다.</x:v>
      </x:c>
    </x:row>
    <x:row r="50" spans="1:14" ht="15.75" customHeight="1">
      <x:c r="A50" s="12">
        <x:f>VLOOKUP(C50,{"Weapon",1000;"Companion",2000;"Armor",3000;"Accessory",4000;"Tool",5000;"Consumable",6000;"Food",7000;"Artifact",8000;"Material",9000;"Toy",10000},2,FALSE)+COUNTIF($C$4:C50,C50)</x:f>
        <x:v>4005</x:v>
      </x:c>
      <x:c r="B50" s="14" t="s">
        <x:v>118</x:v>
      </x:c>
      <x:c r="C50" s="14" t="s">
        <x:v>73</x:v>
      </x:c>
      <x:c r="D50" s="15">
        <x:v>1</x:v>
      </x:c>
      <x:c r="E50" s="15">
        <x:v>5</x:v>
      </x:c>
      <x:c r="F50" s="7">
        <x:f t="shared" si="0"/>
        <x:v>3</x:v>
      </x:c>
      <x:c r="G50" s="14" t="s">
        <x:v>11</x:v>
      </x:c>
      <x:c r="H50" s="14" t="s">
        <x:v>129</x:v>
      </x:c>
      <x:c r="I50" s="14"/>
      <x:c r="J50" s="15">
        <x:v>4</x:v>
      </x:c>
      <x:c r="K50" s="14"/>
      <x:c r="L50" s="14"/>
      <x:c r="M50" s="14"/>
      <x:c r="N50" s="4" t="str">
        <x:f t="shared" si="1"/>
        <x:v>가시나무 팔찌이(가) 오른쪽 아이템이 발동할 때마다 4만큼 직접피해를 입힙니다.</x:v>
      </x:c>
    </x:row>
    <x:row r="51" spans="1:14" ht="15.75" customHeight="1">
      <x:c r="A51" s="12">
        <x:f>VLOOKUP(C51,{"Weapon",1000;"Companion",2000;"Armor",3000;"Accessory",4000;"Tool",5000;"Consumable",6000;"Food",7000;"Artifact",8000;"Material",9000;"Toy",10000},2,FALSE)+COUNTIF($C$4:C51,C51)</x:f>
        <x:v>4006</x:v>
      </x:c>
      <x:c r="B51" s="14" t="s">
        <x:v>17</x:v>
      </x:c>
      <x:c r="C51" s="14" t="s">
        <x:v>73</x:v>
      </x:c>
      <x:c r="D51" s="15">
        <x:v>2</x:v>
      </x:c>
      <x:c r="E51" s="15">
        <x:v>8</x:v>
      </x:c>
      <x:c r="F51" s="7">
        <x:f t="shared" si="0"/>
        <x:v>4</x:v>
      </x:c>
      <x:c r="G51" s="14" t="s">
        <x:v>10</x:v>
      </x:c>
      <x:c r="H51" s="14" t="s">
        <x:v>129</x:v>
      </x:c>
      <x:c r="I51" s="14"/>
      <x:c r="J51" s="15">
        <x:v>8</x:v>
      </x:c>
      <x:c r="K51" s="14"/>
      <x:c r="L51" s="14"/>
      <x:c r="M51" s="14"/>
      <x:c r="N51" s="4" t="str">
        <x:f t="shared" si="1"/>
        <x:v>대마법사의 인장 브로치이(가) 전투 시작 시 바로 왼쪽과 오른쪽(둘 다) 아이템에게 8만큼 직접피해를 입힙니다.</x:v>
      </x:c>
    </x:row>
    <x:row r="52" spans="1:14" ht="15.75" customHeight="1">
      <x:c r="A52" s="12">
        <x:f>VLOOKUP(C52,{"Weapon",1000;"Companion",2000;"Armor",3000;"Accessory",4000;"Tool",5000;"Consumable",6000;"Food",7000;"Artifact",8000;"Material",9000;"Toy",10000},2,FALSE)+COUNTIF($C$4:C52,C52)</x:f>
        <x:v>4007</x:v>
      </x:c>
      <x:c r="B52" s="14" t="s">
        <x:v>77</x:v>
      </x:c>
      <x:c r="C52" s="14" t="s">
        <x:v>73</x:v>
      </x:c>
      <x:c r="D52" s="15">
        <x:v>2</x:v>
      </x:c>
      <x:c r="E52" s="15">
        <x:v>8</x:v>
      </x:c>
      <x:c r="F52" s="7">
        <x:f t="shared" si="0"/>
        <x:v>4</x:v>
      </x:c>
      <x:c r="G52" s="14" t="s">
        <x:v>152</x:v>
      </x:c>
      <x:c r="H52" s="14" t="s">
        <x:v>102</x:v>
      </x:c>
      <x:c r="I52" s="14"/>
      <x:c r="J52" s="15">
        <x:v>6</x:v>
      </x:c>
      <x:c r="K52" s="14"/>
      <x:c r="L52" s="15">
        <x:v>4</x:v>
      </x:c>
      <x:c r="M52" s="14"/>
      <x:c r="N52" s="4" t="str">
        <x:f t="shared" si="1"/>
        <x:v>불꽃의 문장 펜던트이(가) 4초마다 적에게 6만큼 발화 중첩을 부여합니다.</x:v>
      </x:c>
    </x:row>
    <x:row r="53" spans="1:14" ht="15.75" customHeight="1">
      <x:c r="A53" s="12">
        <x:f>VLOOKUP(C53,{"Weapon",1000;"Companion",2000;"Armor",3000;"Accessory",4000;"Tool",5000;"Consumable",6000;"Food",7000;"Artifact",8000;"Material",9000;"Toy",10000},2,FALSE)+COUNTIF($C$4:C53,C53)</x:f>
        <x:v>4008</x:v>
      </x:c>
      <x:c r="B53" s="14" t="s">
        <x:v>78</x:v>
      </x:c>
      <x:c r="C53" s="14" t="s">
        <x:v>73</x:v>
      </x:c>
      <x:c r="D53" s="15">
        <x:v>2</x:v>
      </x:c>
      <x:c r="E53" s="15">
        <x:v>9</x:v>
      </x:c>
      <x:c r="F53" s="7">
        <x:f t="shared" si="0"/>
        <x:v>5</x:v>
      </x:c>
      <x:c r="G53" s="14" t="s">
        <x:v>9</x:v>
      </x:c>
      <x:c r="H53" s="14" t="s">
        <x:v>143</x:v>
      </x:c>
      <x:c r="I53" s="14"/>
      <x:c r="J53" s="15">
        <x:v>4</x:v>
      </x:c>
      <x:c r="K53" s="14"/>
      <x:c r="L53" s="15">
        <x:v>4</x:v>
      </x:c>
      <x:c r="M53" s="14"/>
      <x:c r="N53" s="4" t="str">
        <x:f t="shared" si="1"/>
        <x:v>천사의 깃털 깃장식이(가) 4초마다 왼쪽과 오른쪽(둘 다) 아이템에게 4만큼 회복을 획득합니다.</x:v>
      </x:c>
    </x:row>
    <x:row r="54" spans="1:14" ht="15.75" customHeight="1">
      <x:c r="A54" s="12">
        <x:f>VLOOKUP(C54,{"Weapon",1000;"Companion",2000;"Armor",3000;"Accessory",4000;"Tool",5000;"Consumable",6000;"Food",7000;"Artifact",8000;"Material",9000;"Toy",10000},2,FALSE)+COUNTIF($C$4:C54,C54)</x:f>
        <x:v>4009</x:v>
      </x:c>
      <x:c r="B54" s="14" t="s">
        <x:v>97</x:v>
      </x:c>
      <x:c r="C54" s="14" t="s">
        <x:v>73</x:v>
      </x:c>
      <x:c r="D54" s="15">
        <x:v>3</x:v>
      </x:c>
      <x:c r="E54" s="15">
        <x:v>12</x:v>
      </x:c>
      <x:c r="F54" s="7">
        <x:f t="shared" si="0"/>
        <x:v>6</x:v>
      </x:c>
      <x:c r="G54" s="14" t="s">
        <x:v>152</x:v>
      </x:c>
      <x:c r="H54" s="14" t="s">
        <x:v>129</x:v>
      </x:c>
      <x:c r="I54" s="14" t="s">
        <x:v>14</x:v>
      </x:c>
      <x:c r="J54" s="15">
        <x:v>8</x:v>
      </x:c>
      <x:c r="K54" s="15">
        <x:v>5</x:v>
      </x:c>
      <x:c r="L54" s="15">
        <x:v>3</x:v>
      </x:c>
      <x:c r="M54" s="14"/>
      <x:c r="N54" s="4" t="str">
        <x:f t="shared" si="1"/>
        <x:v>타락한 영혼의 성배이(가) 3초마다 적에게 8만큼 직접피해를 입히고, 5만큼 독 중첩을 부여합니다.</x:v>
      </x:c>
    </x:row>
    <x:row r="55" spans="1:14" ht="15.75" customHeight="1">
      <x:c r="A55" s="12">
        <x:f>VLOOKUP(C55,{"Weapon",1000;"Companion",2000;"Armor",3000;"Accessory",4000;"Tool",5000;"Consumable",6000;"Food",7000;"Artifact",8000;"Material",9000;"Toy",10000},2,FALSE)+COUNTIF($C$4:C55,C55)</x:f>
        <x:v>4010</x:v>
      </x:c>
      <x:c r="B55" s="14" t="s">
        <x:v>15</x:v>
      </x:c>
      <x:c r="C55" s="14" t="s">
        <x:v>73</x:v>
      </x:c>
      <x:c r="D55" s="15">
        <x:v>3</x:v>
      </x:c>
      <x:c r="E55" s="15">
        <x:v>13</x:v>
      </x:c>
      <x:c r="F55" s="7">
        <x:f t="shared" si="0"/>
        <x:v>7</x:v>
      </x:c>
      <x:c r="G55" s="14" t="s">
        <x:v>10</x:v>
      </x:c>
      <x:c r="H55" s="14" t="s">
        <x:v>129</x:v>
      </x:c>
      <x:c r="I55" s="14" t="s">
        <x:v>146</x:v>
      </x:c>
      <x:c r="J55" s="15">
        <x:v>10</x:v>
      </x:c>
      <x:c r="K55" s="15">
        <x:v>12</x:v>
      </x:c>
      <x:c r="L55" s="14"/>
      <x:c r="M55" s="14"/>
      <x:c r="N55" s="4" t="str">
        <x:f t="shared" si="1"/>
        <x:v>타이탄의 거대한 가중 반지이(가) 전투 시작 시 바로 왼쪽과 오른쪽(둘 다) 아이템에게 10만큼 직접피해를 입히고, 12만큼 쉴드를 획득합니다.</x:v>
      </x:c>
    </x:row>
    <x:row r="56" spans="1:14" ht="15.75" customHeight="1">
      <x:c r="A56" s="12">
        <x:f>VLOOKUP(C56,{"Weapon",1000;"Companion",2000;"Armor",3000;"Accessory",4000;"Tool",5000;"Consumable",6000;"Food",7000;"Artifact",8000;"Material",9000;"Toy",10000},2,FALSE)+COUNTIF($C$4:C56,C56)</x:f>
        <x:v>7002</x:v>
      </x:c>
      <x:c r="B56" s="14" t="s">
        <x:v>116</x:v>
      </x:c>
      <x:c r="C56" s="14" t="s">
        <x:v>137</x:v>
      </x:c>
      <x:c r="D56" s="15">
        <x:v>1</x:v>
      </x:c>
      <x:c r="E56" s="15">
        <x:v>2</x:v>
      </x:c>
      <x:c r="F56" s="7">
        <x:f t="shared" si="0"/>
        <x:v>1</x:v>
      </x:c>
      <x:c r="G56" s="14" t="s">
        <x:v>152</x:v>
      </x:c>
      <x:c r="H56" s="14" t="s">
        <x:v>143</x:v>
      </x:c>
      <x:c r="I56" s="14"/>
      <x:c r="J56" s="15">
        <x:v>3</x:v>
      </x:c>
      <x:c r="K56" s="14"/>
      <x:c r="L56" s="15">
        <x:v>5</x:v>
      </x:c>
      <x:c r="M56" s="14"/>
      <x:c r="N56" s="4" t="str">
        <x:f t="shared" si="1"/>
        <x:v>신선한 사과이(가) 5초마다 적에게 3만큼 회복을 획득합니다.</x:v>
      </x:c>
    </x:row>
    <x:row r="57" spans="1:14" ht="15.75" customHeight="1">
      <x:c r="A57" s="12">
        <x:f>VLOOKUP(C57,{"Weapon",1000;"Companion",2000;"Armor",3000;"Accessory",4000;"Tool",5000;"Consumable",6000;"Food",7000;"Artifact",8000;"Material",9000;"Toy",10000},2,FALSE)+COUNTIF($C$4:C57,C57)</x:f>
        <x:v>7003</x:v>
      </x:c>
      <x:c r="B57" s="14" t="s">
        <x:v>86</x:v>
      </x:c>
      <x:c r="C57" s="14" t="s">
        <x:v>137</x:v>
      </x:c>
      <x:c r="D57" s="15">
        <x:v>1</x:v>
      </x:c>
      <x:c r="E57" s="15">
        <x:v>3</x:v>
      </x:c>
      <x:c r="F57" s="7">
        <x:f t="shared" si="0"/>
        <x:v>2</x:v>
      </x:c>
      <x:c r="G57" s="14" t="s">
        <x:v>16</x:v>
      </x:c>
      <x:c r="H57" s="14" t="s">
        <x:v>102</x:v>
      </x:c>
      <x:c r="I57" s="14"/>
      <x:c r="J57" s="15">
        <x:v>4</x:v>
      </x:c>
      <x:c r="K57" s="14"/>
      <x:c r="L57" s="14"/>
      <x:c r="M57" s="14"/>
      <x:c r="N57" s="4" t="str">
        <x:f t="shared" si="1"/>
        <x:v>매운 고추 구이이(가) 전투 시작 시 바로 4만큼 발화 중첩을 부여합니다.</x:v>
      </x:c>
    </x:row>
    <x:row r="58" spans="1:14" ht="15.75" customHeight="1">
      <x:c r="A58" s="12">
        <x:f>VLOOKUP(C58,{"Weapon",1000;"Companion",2000;"Armor",3000;"Accessory",4000;"Tool",5000;"Consumable",6000;"Food",7000;"Artifact",8000;"Material",9000;"Toy",10000},2,FALSE)+COUNTIF($C$4:C58,C58)</x:f>
        <x:v>7004</x:v>
      </x:c>
      <x:c r="B58" s="14" t="s">
        <x:v>90</x:v>
      </x:c>
      <x:c r="C58" s="14" t="s">
        <x:v>137</x:v>
      </x:c>
      <x:c r="D58" s="15">
        <x:v>1</x:v>
      </x:c>
      <x:c r="E58" s="15">
        <x:v>4</x:v>
      </x:c>
      <x:c r="F58" s="7">
        <x:f t="shared" si="0"/>
        <x:v>2</x:v>
      </x:c>
      <x:c r="G58" s="14" t="s">
        <x:v>151</x:v>
      </x:c>
      <x:c r="H58" s="14" t="s">
        <x:v>143</x:v>
      </x:c>
      <x:c r="I58" s="14"/>
      <x:c r="J58" s="15">
        <x:v>5</x:v>
      </x:c>
      <x:c r="K58" s="14"/>
      <x:c r="L58" s="15">
        <x:v>4</x:v>
      </x:c>
      <x:c r="M58" s="14"/>
      <x:c r="N58" s="4" t="str">
        <x:f t="shared" si="1"/>
        <x:v>벌꿀 치유 음료이(가) 4초마다 왼쪽 아이템에게 5만큼 회복을 획득합니다.</x:v>
      </x:c>
    </x:row>
    <x:row r="59" spans="1:14" ht="15.75" customHeight="1">
      <x:c r="A59" s="12">
        <x:f>VLOOKUP(C59,{"Weapon",1000;"Companion",2000;"Armor",3000;"Accessory",4000;"Tool",5000;"Consumable",6000;"Food",7000;"Artifact",8000;"Material",9000;"Toy",10000},2,FALSE)+COUNTIF($C$4:C59,C59)</x:f>
        <x:v>7005</x:v>
      </x:c>
      <x:c r="B59" s="14" t="s">
        <x:v>112</x:v>
      </x:c>
      <x:c r="C59" s="14" t="s">
        <x:v>137</x:v>
      </x:c>
      <x:c r="D59" s="15">
        <x:v>2</x:v>
      </x:c>
      <x:c r="E59" s="15">
        <x:v>5</x:v>
      </x:c>
      <x:c r="F59" s="7">
        <x:f t="shared" si="0"/>
        <x:v>3</x:v>
      </x:c>
      <x:c r="G59" s="14" t="s">
        <x:v>152</x:v>
      </x:c>
      <x:c r="H59" s="14" t="s">
        <x:v>14</x:v>
      </x:c>
      <x:c r="I59" s="14"/>
      <x:c r="J59" s="15">
        <x:v>6</x:v>
      </x:c>
      <x:c r="K59" s="14"/>
      <x:c r="L59" s="15">
        <x:v>3</x:v>
      </x:c>
      <x:c r="M59" s="14"/>
      <x:c r="N59" s="4" t="str">
        <x:f t="shared" si="1"/>
        <x:v>독버섯 스튜이(가) 3초마다 적에게 6만큼 독 중첩을 부여합니다.</x:v>
      </x:c>
    </x:row>
    <x:row r="60" spans="1:14" ht="15.75" customHeight="1">
      <x:c r="A60" s="12">
        <x:f>VLOOKUP(C60,{"Weapon",1000;"Companion",2000;"Armor",3000;"Accessory",4000;"Tool",5000;"Consumable",6000;"Food",7000;"Artifact",8000;"Material",9000;"Toy",10000},2,FALSE)+COUNTIF($C$4:C60,C60)</x:f>
        <x:v>7006</x:v>
      </x:c>
      <x:c r="B60" s="14" t="s">
        <x:v>19</x:v>
      </x:c>
      <x:c r="C60" s="14" t="s">
        <x:v>137</x:v>
      </x:c>
      <x:c r="D60" s="15">
        <x:v>2</x:v>
      </x:c>
      <x:c r="E60" s="15">
        <x:v>6</x:v>
      </x:c>
      <x:c r="F60" s="7">
        <x:f t="shared" si="0"/>
        <x:v>3</x:v>
      </x:c>
      <x:c r="G60" s="14" t="s">
        <x:v>154</x:v>
      </x:c>
      <x:c r="H60" s="14" t="s">
        <x:v>146</x:v>
      </x:c>
      <x:c r="I60" s="14"/>
      <x:c r="J60" s="15">
        <x:v>12</x:v>
      </x:c>
      <x:c r="K60" s="14"/>
      <x:c r="L60" s="14"/>
      <x:c r="M60" s="14"/>
      <x:c r="N60" s="4" t="str">
        <x:f t="shared" si="1"/>
        <x:v>구운 돼지고기 스테이크이(가) 전투 시작 시 바로 왼쪽 아이템에게 12만큼 쉴드를 획득합니다.</x:v>
      </x:c>
    </x:row>
    <x:row r="61" spans="1:14" ht="15.75" customHeight="1">
      <x:c r="A61" s="12">
        <x:f>VLOOKUP(C61,{"Weapon",1000;"Companion",2000;"Armor",3000;"Accessory",4000;"Tool",5000;"Consumable",6000;"Food",7000;"Artifact",8000;"Material",9000;"Toy",10000},2,FALSE)+COUNTIF($C$4:C61,C61)</x:f>
        <x:v>7007</x:v>
      </x:c>
      <x:c r="B61" s="14" t="s">
        <x:v>91</x:v>
      </x:c>
      <x:c r="C61" s="14" t="s">
        <x:v>137</x:v>
      </x:c>
      <x:c r="D61" s="15">
        <x:v>1</x:v>
      </x:c>
      <x:c r="E61" s="15">
        <x:v>5</x:v>
      </x:c>
      <x:c r="F61" s="7">
        <x:f t="shared" si="0"/>
        <x:v>3</x:v>
      </x:c>
      <x:c r="G61" s="14" t="s">
        <x:v>16</x:v>
      </x:c>
      <x:c r="H61" s="14" t="s">
        <x:v>129</x:v>
      </x:c>
      <x:c r="I61" s="14" t="s">
        <x:v>14</x:v>
      </x:c>
      <x:c r="J61" s="15">
        <x:v>3</x:v>
      </x:c>
      <x:c r="K61" s="15">
        <x:v>4</x:v>
      </x:c>
      <x:c r="L61" s="14"/>
      <x:c r="M61" s="14"/>
      <x:c r="N61" s="4" t="str">
        <x:f t="shared" si="1"/>
        <x:v>마녀의 수상한 약물이(가) 전투 시작 시 바로 3만큼 직접피해를 입히고, 4만큼 독 중첩을 부여합니다.</x:v>
      </x:c>
    </x:row>
    <x:row r="62" spans="1:14" ht="15.75" customHeight="1">
      <x:c r="A62" s="12">
        <x:f>VLOOKUP(C62,{"Weapon",1000;"Companion",2000;"Armor",3000;"Accessory",4000;"Tool",5000;"Consumable",6000;"Food",7000;"Artifact",8000;"Material",9000;"Toy",10000},2,FALSE)+COUNTIF($C$4:C62,C62)</x:f>
        <x:v>7008</x:v>
      </x:c>
      <x:c r="B62" s="14" t="s">
        <x:v>132</x:v>
      </x:c>
      <x:c r="C62" s="14" t="s">
        <x:v>137</x:v>
      </x:c>
      <x:c r="D62" s="15">
        <x:v>2</x:v>
      </x:c>
      <x:c r="E62" s="15">
        <x:v>7</x:v>
      </x:c>
      <x:c r="F62" s="7">
        <x:f t="shared" si="0"/>
        <x:v>4</x:v>
      </x:c>
      <x:c r="G62" s="14" t="s">
        <x:v>152</x:v>
      </x:c>
      <x:c r="H62" s="14" t="s">
        <x:v>102</x:v>
      </x:c>
      <x:c r="I62" s="14"/>
      <x:c r="J62" s="15">
        <x:v>7</x:v>
      </x:c>
      <x:c r="K62" s="14"/>
      <x:c r="L62" s="15">
        <x:v>4</x:v>
      </x:c>
      <x:c r="M62" s="14"/>
      <x:c r="N62" s="4" t="str">
        <x:f t="shared" si="1"/>
        <x:v>지옥불 살라미이(가) 4초마다 적에게 7만큼 발화 중첩을 부여합니다.</x:v>
      </x:c>
    </x:row>
    <x:row r="63" spans="1:14" ht="15.75" customHeight="1">
      <x:c r="A63" s="12">
        <x:f>VLOOKUP(C63,{"Weapon",1000;"Companion",2000;"Armor",3000;"Accessory",4000;"Tool",5000;"Consumable",6000;"Food",7000;"Artifact",8000;"Material",9000;"Toy",10000},2,FALSE)+COUNTIF($C$4:C63,C63)</x:f>
        <x:v>7009</x:v>
      </x:c>
      <x:c r="B63" s="14" t="s">
        <x:v>99</x:v>
      </x:c>
      <x:c r="C63" s="14" t="s">
        <x:v>137</x:v>
      </x:c>
      <x:c r="D63" s="15">
        <x:v>2</x:v>
      </x:c>
      <x:c r="E63" s="15">
        <x:v>8</x:v>
      </x:c>
      <x:c r="F63" s="7">
        <x:f t="shared" si="0"/>
        <x:v>4</x:v>
      </x:c>
      <x:c r="G63" s="14" t="s">
        <x:v>9</x:v>
      </x:c>
      <x:c r="H63" s="14" t="s">
        <x:v>143</x:v>
      </x:c>
      <x:c r="I63" s="14" t="s">
        <x:v>146</x:v>
      </x:c>
      <x:c r="J63" s="15">
        <x:v>4</x:v>
      </x:c>
      <x:c r="K63" s="15">
        <x:v>4</x:v>
      </x:c>
      <x:c r="L63" s="15">
        <x:v>4</x:v>
      </x:c>
      <x:c r="M63" s="14"/>
      <x:c r="N63" s="4" t="str">
        <x:f t="shared" si="1"/>
        <x:v>엘프의 세계수 이슬이(가) 4초마다 왼쪽과 오른쪽(둘 다) 아이템에게 4만큼 회복하고, 4만큼 쉴드를 획득합니다.</x:v>
      </x:c>
    </x:row>
    <x:row r="64" spans="1:14" ht="15.75" customHeight="1">
      <x:c r="A64" s="12">
        <x:f>VLOOKUP(C64,{"Weapon",1000;"Companion",2000;"Armor",3000;"Accessory",4000;"Tool",5000;"Consumable",6000;"Food",7000;"Artifact",8000;"Material",9000;"Toy",10000},2,FALSE)+COUNTIF($C$4:C64,C64)</x:f>
        <x:v>7010</x:v>
      </x:c>
      <x:c r="B64" s="14" t="s">
        <x:v>96</x:v>
      </x:c>
      <x:c r="C64" s="14" t="s">
        <x:v>137</x:v>
      </x:c>
      <x:c r="D64" s="15">
        <x:v>3</x:v>
      </x:c>
      <x:c r="E64" s="15">
        <x:v>11</x:v>
      </x:c>
      <x:c r="F64" s="7">
        <x:f t="shared" si="0"/>
        <x:v>6</x:v>
      </x:c>
      <x:c r="G64" s="14" t="s">
        <x:v>10</x:v>
      </x:c>
      <x:c r="H64" s="14" t="s">
        <x:v>143</x:v>
      </x:c>
      <x:c r="I64" s="14" t="s">
        <x:v>146</x:v>
      </x:c>
      <x:c r="J64" s="15">
        <x:v>8</x:v>
      </x:c>
      <x:c r="K64" s="15">
        <x:v>15</x:v>
      </x:c>
      <x:c r="L64" s="14"/>
      <x:c r="M64" s="14"/>
      <x:c r="N64" s="4" t="str">
        <x:f t="shared" si="1"/>
        <x:v>전사의 만찬 세트이(가) 전투 시작 시 바로 왼쪽과 오른쪽(둘 다) 아이템에게 8만큼 회복하고, 15만큼 쉴드를 획득합니다.</x:v>
      </x:c>
    </x:row>
    <x:row r="65" spans="1:14" ht="15.75" customHeight="1">
      <x:c r="A65" s="12">
        <x:f>VLOOKUP(C65,{"Weapon",1000;"Companion",2000;"Armor",3000;"Accessory",4000;"Tool",5000;"Consumable",6000;"Food",7000;"Artifact",8000;"Material",9000;"Toy",10000},2,FALSE)+COUNTIF($C$4:C65,C65)</x:f>
        <x:v>7011</x:v>
      </x:c>
      <x:c r="B65" s="14" t="s">
        <x:v>98</x:v>
      </x:c>
      <x:c r="C65" s="14" t="s">
        <x:v>137</x:v>
      </x:c>
      <x:c r="D65" s="15">
        <x:v>3</x:v>
      </x:c>
      <x:c r="E65" s="15">
        <x:v>14</x:v>
      </x:c>
      <x:c r="F65" s="7">
        <x:f t="shared" si="0"/>
        <x:v>7</x:v>
      </x:c>
      <x:c r="G65" s="14" t="s">
        <x:v>152</x:v>
      </x:c>
      <x:c r="H65" s="14" t="s">
        <x:v>129</x:v>
      </x:c>
      <x:c r="I65" s="14" t="s">
        <x:v>102</x:v>
      </x:c>
      <x:c r="J65" s="15">
        <x:v>12</x:v>
      </x:c>
      <x:c r="K65" s="15">
        <x:v>8</x:v>
      </x:c>
      <x:c r="L65" s="15">
        <x:v>3</x:v>
      </x:c>
      <x:c r="M65" s="14"/>
      <x:c r="N65" s="4" t="str">
        <x:f t="shared" si="1"/>
        <x:v>드래곤의 심장 바베큐이(가) 3초마다 적에게 12만큼 직접피해를 입히고, 8만큼 발화 중첩을 부여합니다.</x:v>
      </x:c>
    </x:row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325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rylro</cp:lastModifiedBy>
  <cp:revision>16</cp:revision>
  <dcterms:created xsi:type="dcterms:W3CDTF">2026-05-14T12:45:26.356</dcterms:created>
  <dcterms:modified xsi:type="dcterms:W3CDTF">2026-05-23T09:21:21.290</dcterms:modified>
  <cp:version>0906.0200.01</cp:version>
</cp:coreProperties>
</file>